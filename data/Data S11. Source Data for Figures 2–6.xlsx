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胡桃\论文\食物效率第二篇\耕地效率与生态承载力\全球耕地效率计算\返修\第二轮\数据\"/>
    </mc:Choice>
  </mc:AlternateContent>
  <xr:revisionPtr revIDLastSave="0" documentId="13_ncr:1_{43F79312-A1B7-4FBC-BF96-E857D606BD0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Fig.2" sheetId="1" r:id="rId1"/>
    <sheet name="Fig.3" sheetId="2" r:id="rId2"/>
    <sheet name="Fig.4" sheetId="7" r:id="rId3"/>
    <sheet name="Fig.5" sheetId="8" r:id="rId4"/>
    <sheet name="Fig.6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0" i="2" l="1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3" i="2"/>
</calcChain>
</file>

<file path=xl/sharedStrings.xml><?xml version="1.0" encoding="utf-8"?>
<sst xmlns="http://schemas.openxmlformats.org/spreadsheetml/2006/main" count="781" uniqueCount="161">
  <si>
    <t>Region</t>
    <phoneticPr fontId="4" type="noConversion"/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</si>
  <si>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</si>
  <si>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</si>
  <si>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</si>
  <si>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</si>
  <si>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</si>
  <si>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</si>
  <si>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</si>
  <si>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</si>
  <si>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</si>
  <si>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</si>
  <si>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</si>
  <si>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</si>
  <si>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</si>
  <si>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</si>
  <si>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</si>
  <si>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</si>
  <si>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</si>
  <si>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</si>
  <si>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</si>
  <si>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</si>
  <si>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</si>
  <si>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</si>
  <si>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</si>
  <si>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ROU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</si>
  <si>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</si>
  <si>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</si>
  <si>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</si>
  <si>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</si>
  <si>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</si>
  <si>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</si>
  <si>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</si>
  <si>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</si>
  <si>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</si>
  <si>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</si>
  <si>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</si>
  <si>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</si>
  <si>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</si>
  <si>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</si>
  <si>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</si>
  <si>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</si>
  <si>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NOR</t>
  </si>
  <si>
    <t>IDN</t>
  </si>
  <si>
    <t>ZAF</t>
  </si>
  <si>
    <t>WA</t>
  </si>
  <si>
    <t>WL</t>
  </si>
  <si>
    <t>WE</t>
  </si>
  <si>
    <t>WF</t>
  </si>
  <si>
    <t>WM</t>
  </si>
  <si>
    <t>Region</t>
    <phoneticPr fontId="2" type="noConversion"/>
  </si>
  <si>
    <t>Country Code</t>
  </si>
  <si>
    <t>PLEF</t>
    <phoneticPr fontId="2" type="noConversion"/>
  </si>
  <si>
    <t>LBC</t>
    <phoneticPr fontId="2" type="noConversion"/>
  </si>
  <si>
    <t>CLEF</t>
    <phoneticPr fontId="2" type="noConversion"/>
  </si>
  <si>
    <t>Austria</t>
  </si>
  <si>
    <t>Belgium</t>
  </si>
  <si>
    <t>Bulgaria</t>
  </si>
  <si>
    <t>Czechia</t>
  </si>
  <si>
    <t>Germany</t>
  </si>
  <si>
    <t>Denmark</t>
  </si>
  <si>
    <t>Estonia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</si>
  <si>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</si>
  <si>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</si>
  <si>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</si>
  <si>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</si>
  <si>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</si>
  <si>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</si>
  <si>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</si>
  <si>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</si>
  <si>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</si>
  <si>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</si>
  <si>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</si>
  <si>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Poland</t>
  </si>
  <si>
    <t>Romania</t>
  </si>
  <si>
    <t>Sweden</t>
  </si>
  <si>
    <t>Slovenia</t>
  </si>
  <si>
    <t>Slovakia</t>
  </si>
  <si>
    <t>GBR</t>
    <phoneticPr fontId="2" type="noConversion"/>
  </si>
  <si>
    <t>United States of America</t>
  </si>
  <si>
    <t>Japan</t>
  </si>
  <si>
    <t>China</t>
  </si>
  <si>
    <t>Canada</t>
  </si>
  <si>
    <t>Republic of Korea</t>
  </si>
  <si>
    <t>Brazil</t>
  </si>
  <si>
    <t>India</t>
  </si>
  <si>
    <t>Mexico</t>
  </si>
  <si>
    <t>Russian Federation</t>
  </si>
  <si>
    <t>Australia</t>
  </si>
  <si>
    <t>Switzerland</t>
  </si>
  <si>
    <t>Türkiye</t>
  </si>
  <si>
    <t>Norway</t>
  </si>
  <si>
    <t>South Africa</t>
  </si>
  <si>
    <t>LBC-PLEF</t>
    <phoneticPr fontId="2" type="noConversion"/>
  </si>
  <si>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</si>
  <si>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</si>
  <si>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</si>
  <si>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</si>
  <si>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</si>
  <si>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</si>
  <si>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</si>
  <si>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</si>
  <si>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</si>
  <si>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</si>
  <si>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</si>
  <si>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</si>
  <si>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</si>
  <si>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</si>
  <si>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</si>
  <si>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</si>
  <si>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</si>
  <si>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</si>
  <si>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</si>
  <si>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</si>
  <si>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</si>
  <si>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</si>
  <si>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</si>
  <si>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</si>
  <si>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</si>
  <si>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</si>
  <si>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</si>
  <si>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</si>
  <si>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</si>
  <si>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</si>
  <si>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</si>
  <si>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</si>
  <si>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</si>
  <si>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</si>
  <si>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</si>
  <si>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</si>
  <si>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</si>
  <si>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</si>
  <si>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</si>
  <si>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</si>
  <si>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</si>
  <si>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NO</t>
  </si>
  <si>
    <t>ID</t>
  </si>
  <si>
    <t>ZA</t>
  </si>
  <si>
    <t>EFp</t>
    <phoneticPr fontId="6" type="noConversion"/>
  </si>
  <si>
    <t>Aboard</t>
    <phoneticPr fontId="6" type="noConversion"/>
  </si>
  <si>
    <t>Aboard/EFp</t>
    <phoneticPr fontId="6" type="noConversion"/>
  </si>
  <si>
    <t>BC</t>
    <phoneticPr fontId="6" type="noConversion"/>
  </si>
  <si>
    <t>domestic</t>
    <phoneticPr fontId="6" type="noConversion"/>
  </si>
  <si>
    <t>BC/EFp</t>
    <phoneticPr fontId="2" type="noConversion"/>
  </si>
  <si>
    <t>Eff</t>
    <phoneticPr fontId="2" type="noConversion"/>
  </si>
  <si>
    <t>cropland</t>
    <phoneticPr fontId="2" type="noConversion"/>
  </si>
  <si>
    <t>Fertilizer</t>
    <phoneticPr fontId="2" type="noConversion"/>
  </si>
  <si>
    <t>Irrigation water</t>
    <phoneticPr fontId="2" type="noConversion"/>
  </si>
  <si>
    <t>Labor</t>
    <phoneticPr fontId="2" type="noConversion"/>
  </si>
  <si>
    <t>Energy</t>
    <phoneticPr fontId="2" type="noConversion"/>
  </si>
  <si>
    <t>Environmental burden</t>
    <phoneticPr fontId="2" type="noConversion"/>
  </si>
  <si>
    <t>Cyprus</t>
    <phoneticPr fontId="2" type="noConversion"/>
  </si>
  <si>
    <t>Greece</t>
  </si>
  <si>
    <t>Netherlands</t>
    <phoneticPr fontId="2" type="noConversion"/>
  </si>
  <si>
    <t>Portugal</t>
    <phoneticPr fontId="2" type="noConversion"/>
  </si>
  <si>
    <t>United Kingdom of Great Britain and Northern Ireland</t>
  </si>
  <si>
    <t>Indonesia</t>
  </si>
  <si>
    <t>EXIO_WA</t>
    <phoneticPr fontId="2" type="noConversion"/>
  </si>
  <si>
    <t>EXIO_WL</t>
    <phoneticPr fontId="2" type="noConversion"/>
  </si>
  <si>
    <t>EXIO_WE</t>
    <phoneticPr fontId="2" type="noConversion"/>
  </si>
  <si>
    <t>EXIO_WF</t>
    <phoneticPr fontId="2" type="noConversion"/>
  </si>
  <si>
    <t>EXIO_WM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</si>
</sst>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Calibri"/>
      <family val="2"/>
    </font>
    <font>
      <sz val="9"/>
      <name val="等线"/>
      <family val="3"/>
      <charset val="134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C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1">
    <xf numFmtId="0" fontId="0" fillId="0" borderId="0" xfId="0"/>
    <xf numFmtId="0" fontId="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/>
    </xf>
    <xf numFmtId="0" fontId="5" fillId="0" borderId="1" xfId="1" applyFont="1" applyFill="1" applyBorder="1">
      <alignment vertical="center"/>
    </xf>
    <xf numFmtId="11" fontId="5" fillId="0" borderId="1" xfId="1" applyNumberFormat="1" applyFont="1" applyFill="1" applyBorder="1">
      <alignment vertical="center"/>
    </xf>
    <xf numFmtId="11" fontId="5" fillId="0" borderId="1" xfId="1" applyNumberFormat="1" applyFont="1" applyFill="1" applyBorder="1" applyAlignment="1">
      <alignment horizontal="center" vertical="center"/>
    </xf>
    <xf numFmtId="10" fontId="5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0A08F4B9-7F72-4418-8E61-44F98BFB4E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opLeftCell="A28" workbookViewId="0">
      <selection activeCell="J23" sqref="J23"/>
    </sheetView>
  </sheetViews>
  <sheetFormatPr defaultRowHeight="14.25" x14ac:dyDescent="0.2"/>
  <sheetData>
    <row r="1" spans="1:5" ht="15" x14ac:dyDescent="0.25">
      <c r="A1" s="1" t="s">
        <v>0</v>
      </c>
      <c r="B1" s="1">
        <v>2011</v>
      </c>
      <c r="C1" s="1">
        <v>2015</v>
      </c>
      <c r="D1" s="1">
        <v>2019</v>
      </c>
      <c r="E1" s="1">
        <v>2022</v>
      </c>
    </row>
    <row r="2" spans="1:5" ht="15" x14ac:dyDescent="0.25">
      <c r="A2" s="2" t="s">
        <v>1</v>
      </c>
      <c r="B2" s="3">
        <v>0.71221899383188836</v>
      </c>
      <c r="C2" s="3">
        <v>0.41506031125975568</v>
      </c>
      <c r="D2" s="3">
        <v>0.39669361425230915</v>
      </c>
      <c r="E2" s="3">
        <v>0.48767636505908818</v>
      </c>
    </row>
    <row r="3" spans="1:5" ht="15" x14ac:dyDescent="0.25">
      <c r="A3" s="2" t="s">
        <v>2</v>
      </c>
      <c r="B3" s="3">
        <v>1.1900717824510501</v>
      </c>
      <c r="C3" s="3">
        <v>0.73141234309686176</v>
      </c>
      <c r="D3" s="3">
        <v>1.0310889586022176</v>
      </c>
      <c r="E3" s="3">
        <v>1.1079800750797617</v>
      </c>
    </row>
    <row r="4" spans="1:5" ht="15" x14ac:dyDescent="0.25">
      <c r="A4" s="2" t="s">
        <v>3</v>
      </c>
      <c r="B4" s="3">
        <v>0.34294780788149221</v>
      </c>
      <c r="C4" s="3">
        <v>0.15787249845328302</v>
      </c>
      <c r="D4" s="3">
        <v>0.27351150021665266</v>
      </c>
      <c r="E4" s="3">
        <v>0.27102364852159572</v>
      </c>
    </row>
    <row r="5" spans="1:5" ht="15" x14ac:dyDescent="0.25">
      <c r="A5" s="2" t="s">
        <v>4</v>
      </c>
      <c r="B5" s="3">
        <v>0.18595237119294347</v>
      </c>
      <c r="C5" s="3">
        <v>0.10852215986322011</v>
      </c>
      <c r="D5" s="3">
        <v>0.11645671284571857</v>
      </c>
      <c r="E5" s="3">
        <v>0.10592367218474455</v>
      </c>
    </row>
    <row r="6" spans="1:5" ht="15" x14ac:dyDescent="0.25">
      <c r="A6" s="2" t="s">
        <v>5</v>
      </c>
      <c r="B6" s="3">
        <v>1.0115035030595418</v>
      </c>
      <c r="C6" s="3">
        <v>1.0443362206897342</v>
      </c>
      <c r="D6" s="3">
        <v>0.80065505073040244</v>
      </c>
      <c r="E6" s="3">
        <v>1.0397493558239532</v>
      </c>
    </row>
    <row r="7" spans="1:5" ht="15" x14ac:dyDescent="0.25">
      <c r="A7" s="2" t="s">
        <v>6</v>
      </c>
      <c r="B7" s="3">
        <v>1.0995315901723965</v>
      </c>
      <c r="C7" s="3">
        <v>1.4274983088173856</v>
      </c>
      <c r="D7" s="3">
        <v>1.0206159660506362</v>
      </c>
      <c r="E7" s="3">
        <v>1.1078842869084813</v>
      </c>
    </row>
    <row r="8" spans="1:5" ht="15" x14ac:dyDescent="0.25">
      <c r="A8" s="2" t="s">
        <v>7</v>
      </c>
      <c r="B8" s="3">
        <v>1.0116408495645179</v>
      </c>
      <c r="C8" s="3">
        <v>1.0928485972527</v>
      </c>
      <c r="D8" s="3">
        <v>1.0014022050165747</v>
      </c>
      <c r="E8" s="3">
        <v>1.0287955408011296</v>
      </c>
    </row>
    <row r="9" spans="1:5" ht="15" x14ac:dyDescent="0.25">
      <c r="A9" s="2" t="s">
        <v>8</v>
      </c>
      <c r="B9" s="3">
        <v>0.51482089188689528</v>
      </c>
      <c r="C9" s="3">
        <v>1.3493635966797803</v>
      </c>
      <c r="D9" s="3">
        <v>1.3161894108625776</v>
      </c>
      <c r="E9" s="3">
        <v>0.60391681346079362</v>
      </c>
    </row>
    <row r="10" spans="1:5" ht="15" x14ac:dyDescent="0.25">
      <c r="A10" s="2" t="s">
        <v>9</v>
      </c>
      <c r="B10" s="3">
        <v>0.20602284821328481</v>
      </c>
      <c r="C10" s="3">
        <v>0.20419091396736178</v>
      </c>
      <c r="D10" s="3">
        <v>0.17949713666337253</v>
      </c>
      <c r="E10" s="3">
        <v>0.17431368157169846</v>
      </c>
    </row>
    <row r="11" spans="1:5" ht="15" x14ac:dyDescent="0.25">
      <c r="A11" s="2" t="s">
        <v>10</v>
      </c>
      <c r="B11" s="3">
        <v>0.2153080340526754</v>
      </c>
      <c r="C11" s="3">
        <v>0.38462123305370821</v>
      </c>
      <c r="D11" s="3">
        <v>0.2890854517811855</v>
      </c>
      <c r="E11" s="3">
        <v>0.22752300599561376</v>
      </c>
    </row>
    <row r="12" spans="1:5" ht="15" x14ac:dyDescent="0.25">
      <c r="A12" s="2" t="s">
        <v>11</v>
      </c>
      <c r="B12" s="3">
        <v>0.75566868284524036</v>
      </c>
      <c r="C12" s="3">
        <v>1.0930160867623866</v>
      </c>
      <c r="D12" s="3">
        <v>1.0245798798560986</v>
      </c>
      <c r="E12" s="3">
        <v>0.74225663186362545</v>
      </c>
    </row>
    <row r="13" spans="1:5" ht="15" x14ac:dyDescent="0.25">
      <c r="A13" s="2" t="s">
        <v>12</v>
      </c>
      <c r="B13" s="3">
        <v>0.24213570231270642</v>
      </c>
      <c r="C13" s="3">
        <v>0.16330598373711436</v>
      </c>
      <c r="D13" s="3">
        <v>0.19510842238600368</v>
      </c>
      <c r="E13" s="3">
        <v>0.15727991676982336</v>
      </c>
    </row>
    <row r="14" spans="1:5" ht="15" x14ac:dyDescent="0.25">
      <c r="A14" s="2" t="s">
        <v>13</v>
      </c>
      <c r="B14" s="3">
        <v>0.31397336068603121</v>
      </c>
      <c r="C14" s="3">
        <v>0.40937787373036905</v>
      </c>
      <c r="D14" s="3">
        <v>0.47015986247927244</v>
      </c>
      <c r="E14" s="3">
        <v>0.39874249474123896</v>
      </c>
    </row>
    <row r="15" spans="1:5" ht="15" x14ac:dyDescent="0.25">
      <c r="A15" s="2" t="s">
        <v>14</v>
      </c>
      <c r="B15" s="3">
        <v>0.5918621447300052</v>
      </c>
      <c r="C15" s="3">
        <v>1.0541826156376826</v>
      </c>
      <c r="D15" s="3">
        <v>0.56251845630511588</v>
      </c>
      <c r="E15" s="3">
        <v>0.29606657117574475</v>
      </c>
    </row>
    <row r="16" spans="1:5" ht="15" x14ac:dyDescent="0.25">
      <c r="A16" s="2" t="s">
        <v>15</v>
      </c>
      <c r="B16" s="3">
        <v>1.0392622401107594</v>
      </c>
      <c r="C16" s="3">
        <v>1.0418445211936813</v>
      </c>
      <c r="D16" s="3">
        <v>1.0849310639264771</v>
      </c>
      <c r="E16" s="3">
        <v>1.0393322321039291</v>
      </c>
    </row>
    <row r="17" spans="1:5" ht="15" x14ac:dyDescent="0.25">
      <c r="A17" s="2" t="s">
        <v>16</v>
      </c>
      <c r="B17" s="3">
        <v>0.31602221892462518</v>
      </c>
      <c r="C17" s="3">
        <v>0.31618639457823988</v>
      </c>
      <c r="D17" s="3">
        <v>0.23603357334082486</v>
      </c>
      <c r="E17" s="3">
        <v>0.24862234706236697</v>
      </c>
    </row>
    <row r="18" spans="1:5" ht="15" x14ac:dyDescent="0.25">
      <c r="A18" s="2" t="s">
        <v>17</v>
      </c>
      <c r="B18" s="3">
        <v>0.4600272529127481</v>
      </c>
      <c r="C18" s="3">
        <v>1.2772732648056699</v>
      </c>
      <c r="D18" s="3">
        <v>1.0490095529693344</v>
      </c>
      <c r="E18" s="3">
        <v>1.1343572413991012</v>
      </c>
    </row>
    <row r="19" spans="1:5" ht="15" x14ac:dyDescent="0.25">
      <c r="A19" s="2" t="s">
        <v>18</v>
      </c>
      <c r="B19" s="3">
        <v>1.493234334935744</v>
      </c>
      <c r="C19" s="3">
        <v>1.0186096894525514</v>
      </c>
      <c r="D19" s="3">
        <v>1.1078982272219517</v>
      </c>
      <c r="E19" s="3">
        <v>1.1807344132618818</v>
      </c>
    </row>
    <row r="20" spans="1:5" ht="15" x14ac:dyDescent="0.25">
      <c r="A20" s="2" t="s">
        <v>19</v>
      </c>
      <c r="B20" s="3">
        <v>0.35949994877499375</v>
      </c>
      <c r="C20" s="3">
        <v>1.1018892152322539</v>
      </c>
      <c r="D20" s="3">
        <v>0.68163338635911652</v>
      </c>
      <c r="E20" s="3">
        <v>0.68369183602911776</v>
      </c>
    </row>
    <row r="21" spans="1:5" ht="15" x14ac:dyDescent="0.25">
      <c r="A21" s="2" t="s">
        <v>20</v>
      </c>
      <c r="B21" s="3">
        <v>1.1782837566374684</v>
      </c>
      <c r="C21" s="3">
        <v>1.358360521144069</v>
      </c>
      <c r="D21" s="3">
        <v>1.0059299683534917</v>
      </c>
      <c r="E21" s="3">
        <v>1.1367127796709098</v>
      </c>
    </row>
    <row r="22" spans="1:5" ht="15" x14ac:dyDescent="0.25">
      <c r="A22" s="2" t="s">
        <v>21</v>
      </c>
      <c r="B22" s="3">
        <v>1.1212963158843492</v>
      </c>
      <c r="C22" s="3">
        <v>1.6770938886828621</v>
      </c>
      <c r="D22" s="3">
        <v>1.0026424828678644</v>
      </c>
      <c r="E22" s="3">
        <v>1.029978826116368</v>
      </c>
    </row>
    <row r="23" spans="1:5" ht="15" x14ac:dyDescent="0.25">
      <c r="A23" s="2" t="s">
        <v>22</v>
      </c>
      <c r="B23" s="3">
        <v>1.0072759176475281</v>
      </c>
      <c r="C23" s="3">
        <v>1.0765017039618299</v>
      </c>
      <c r="D23" s="3">
        <v>0.70798042844669995</v>
      </c>
      <c r="E23" s="3">
        <v>1.1349898196041093</v>
      </c>
    </row>
    <row r="24" spans="1:5" ht="15" x14ac:dyDescent="0.25">
      <c r="A24" s="2" t="s">
        <v>23</v>
      </c>
      <c r="B24" s="3">
        <v>5.5998940003121299E-2</v>
      </c>
      <c r="C24" s="3">
        <v>6.1712335929849482E-2</v>
      </c>
      <c r="D24" s="3">
        <v>8.2056755435756523E-2</v>
      </c>
      <c r="E24" s="3">
        <v>0.12346201921480582</v>
      </c>
    </row>
    <row r="25" spans="1:5" ht="15" x14ac:dyDescent="0.25">
      <c r="A25" s="2" t="s">
        <v>24</v>
      </c>
      <c r="B25" s="3">
        <v>0.3669078831816186</v>
      </c>
      <c r="C25" s="3">
        <v>0.3797112824042802</v>
      </c>
      <c r="D25" s="3">
        <v>0.34105417429100487</v>
      </c>
      <c r="E25" s="3">
        <v>0.15526200296658818</v>
      </c>
    </row>
    <row r="26" spans="1:5" ht="15" x14ac:dyDescent="0.25">
      <c r="A26" s="2" t="s">
        <v>25</v>
      </c>
      <c r="B26" s="3">
        <v>0.37582620366087155</v>
      </c>
      <c r="C26" s="3">
        <v>0.42692282501687262</v>
      </c>
      <c r="D26" s="3">
        <v>0.43422232314060888</v>
      </c>
      <c r="E26" s="3">
        <v>0.38183511416520044</v>
      </c>
    </row>
    <row r="27" spans="1:5" ht="15" x14ac:dyDescent="0.25">
      <c r="A27" s="2" t="s">
        <v>26</v>
      </c>
      <c r="B27" s="3">
        <v>1.1957484946699835</v>
      </c>
      <c r="C27" s="3">
        <v>0.26993556035540817</v>
      </c>
      <c r="D27" s="3">
        <v>0.26637741201675352</v>
      </c>
      <c r="E27" s="3">
        <v>0.2380697692782251</v>
      </c>
    </row>
    <row r="28" spans="1:5" ht="15" x14ac:dyDescent="0.25">
      <c r="A28" s="2" t="s">
        <v>27</v>
      </c>
      <c r="B28" s="3">
        <v>0.54873726038342918</v>
      </c>
      <c r="C28" s="3">
        <v>0.54861162002119568</v>
      </c>
      <c r="D28" s="3">
        <v>0.55044517276742011</v>
      </c>
      <c r="E28" s="3">
        <v>0.52081318494689832</v>
      </c>
    </row>
    <row r="29" spans="1:5" ht="15" x14ac:dyDescent="0.25">
      <c r="A29" s="2" t="s">
        <v>28</v>
      </c>
      <c r="B29" s="3">
        <v>1.1646747477393948</v>
      </c>
      <c r="C29" s="3">
        <v>1.0037244484085934</v>
      </c>
      <c r="D29" s="3">
        <v>1.0368012653110275</v>
      </c>
      <c r="E29" s="3">
        <v>1.0015959580054328</v>
      </c>
    </row>
    <row r="30" spans="1:5" ht="15" x14ac:dyDescent="0.25">
      <c r="A30" s="2" t="s">
        <v>29</v>
      </c>
      <c r="B30" s="3">
        <v>1.2945155089913718</v>
      </c>
      <c r="C30" s="3">
        <v>1.5482916002298794</v>
      </c>
      <c r="D30" s="3">
        <v>1.4816047587002927</v>
      </c>
      <c r="E30" s="3">
        <v>1.5288274120519263</v>
      </c>
    </row>
    <row r="31" spans="1:5" ht="15" x14ac:dyDescent="0.25">
      <c r="A31" s="2" t="s">
        <v>30</v>
      </c>
      <c r="B31" s="3">
        <v>0.16063157962554508</v>
      </c>
      <c r="C31" s="3">
        <v>0.16799531495157005</v>
      </c>
      <c r="D31" s="3">
        <v>0.17015333554336209</v>
      </c>
      <c r="E31" s="3">
        <v>0.18190709544780981</v>
      </c>
    </row>
    <row r="32" spans="1:5" ht="15" x14ac:dyDescent="0.25">
      <c r="A32" s="2" t="s">
        <v>31</v>
      </c>
      <c r="B32" s="3">
        <v>1.1020294309316077</v>
      </c>
      <c r="C32" s="3">
        <v>1.5</v>
      </c>
      <c r="D32" s="3">
        <v>1.6375587046255555</v>
      </c>
      <c r="E32" s="3">
        <v>1.9031165444327001</v>
      </c>
    </row>
    <row r="33" spans="1:5" ht="15" x14ac:dyDescent="0.25">
      <c r="A33" s="2" t="s">
        <v>32</v>
      </c>
      <c r="B33" s="3">
        <v>1.0730878057680251</v>
      </c>
      <c r="C33" s="3">
        <v>1.1832027634259963</v>
      </c>
      <c r="D33" s="3">
        <v>1.0060251518903343</v>
      </c>
      <c r="E33" s="3">
        <v>1.0652018823924654</v>
      </c>
    </row>
    <row r="34" spans="1:5" ht="15" x14ac:dyDescent="0.25">
      <c r="A34" s="2" t="s">
        <v>33</v>
      </c>
      <c r="B34" s="3">
        <v>0.29344558582852026</v>
      </c>
      <c r="C34" s="3">
        <v>0.32127033763501367</v>
      </c>
      <c r="D34" s="3">
        <v>0.27174747108297154</v>
      </c>
      <c r="E34" s="3">
        <v>0.28120418650138951</v>
      </c>
    </row>
    <row r="35" spans="1:5" ht="15" x14ac:dyDescent="0.25">
      <c r="A35" s="2" t="s">
        <v>34</v>
      </c>
      <c r="B35" s="3">
        <v>1.4007621028843502</v>
      </c>
      <c r="C35" s="3">
        <v>1.8064664500678993</v>
      </c>
      <c r="D35" s="3">
        <v>1.8119336540608981</v>
      </c>
      <c r="E35" s="3">
        <v>1.8119960159787831</v>
      </c>
    </row>
    <row r="36" spans="1:5" ht="15" x14ac:dyDescent="0.25">
      <c r="A36" s="2" t="s">
        <v>35</v>
      </c>
      <c r="B36" s="3">
        <v>0.29795546420107316</v>
      </c>
      <c r="C36" s="3">
        <v>0.57790994942427132</v>
      </c>
      <c r="D36" s="3">
        <v>0.49363249950481025</v>
      </c>
      <c r="E36" s="3">
        <v>0.60610515703040335</v>
      </c>
    </row>
    <row r="37" spans="1:5" ht="15" x14ac:dyDescent="0.25">
      <c r="A37" s="2" t="s">
        <v>36</v>
      </c>
      <c r="B37" s="3">
        <v>0.13905168500955567</v>
      </c>
      <c r="C37" s="3">
        <v>0.31032582178420109</v>
      </c>
      <c r="D37" s="3">
        <v>0.1716492420582427</v>
      </c>
      <c r="E37" s="3">
        <v>0.19223675881906338</v>
      </c>
    </row>
    <row r="38" spans="1:5" ht="15" x14ac:dyDescent="0.25">
      <c r="A38" s="2" t="s">
        <v>37</v>
      </c>
      <c r="B38" s="3">
        <v>0.57647989476808303</v>
      </c>
      <c r="C38" s="3">
        <v>1.2063711417738063</v>
      </c>
      <c r="D38" s="3">
        <v>0.73304436345026847</v>
      </c>
      <c r="E38" s="3">
        <v>1.2679376801931332</v>
      </c>
    </row>
    <row r="39" spans="1:5" ht="15" x14ac:dyDescent="0.25">
      <c r="A39" s="2" t="s">
        <v>38</v>
      </c>
      <c r="B39" s="3">
        <v>0.64193318317897718</v>
      </c>
      <c r="C39" s="3">
        <v>0.63745133281140232</v>
      </c>
      <c r="D39" s="3">
        <v>0.46513085856622838</v>
      </c>
      <c r="E39" s="3">
        <v>1.0954077293171738</v>
      </c>
    </row>
    <row r="40" spans="1:5" ht="15" x14ac:dyDescent="0.25">
      <c r="A40" s="2" t="s">
        <v>39</v>
      </c>
      <c r="B40" s="3">
        <v>0.26610042235020853</v>
      </c>
      <c r="C40" s="3">
        <v>0.22057162854905046</v>
      </c>
      <c r="D40" s="3">
        <v>0.24788167716584725</v>
      </c>
      <c r="E40" s="3">
        <v>0.24717213734520185</v>
      </c>
    </row>
    <row r="41" spans="1:5" ht="15" x14ac:dyDescent="0.25">
      <c r="A41" s="2" t="s">
        <v>40</v>
      </c>
      <c r="B41" s="3">
        <v>0.20174614372866456</v>
      </c>
      <c r="C41" s="3">
        <v>0.21884306447415447</v>
      </c>
      <c r="D41" s="3">
        <v>0.23217330641633427</v>
      </c>
      <c r="E41" s="3">
        <v>0.29963363477380883</v>
      </c>
    </row>
    <row r="42" spans="1:5" ht="15" x14ac:dyDescent="0.25">
      <c r="A42" s="2" t="s">
        <v>41</v>
      </c>
      <c r="B42" s="3">
        <v>0.10963248938109996</v>
      </c>
      <c r="C42" s="3">
        <v>0.16009807102105167</v>
      </c>
      <c r="D42" s="3">
        <v>0.1681928865298073</v>
      </c>
      <c r="E42" s="3">
        <v>0.17153744314574704</v>
      </c>
    </row>
    <row r="43" spans="1:5" ht="15" x14ac:dyDescent="0.25">
      <c r="A43" s="2" t="s">
        <v>42</v>
      </c>
      <c r="B43" s="3">
        <v>0.45188575861998909</v>
      </c>
      <c r="C43" s="3">
        <v>0.54564394625300261</v>
      </c>
      <c r="D43" s="3">
        <v>0.560460916550241</v>
      </c>
      <c r="E43" s="3">
        <v>0.48514735134193915</v>
      </c>
    </row>
    <row r="44" spans="1:5" ht="15" x14ac:dyDescent="0.25">
      <c r="A44" s="2" t="s">
        <v>43</v>
      </c>
      <c r="B44" s="3">
        <v>0.15001540013519302</v>
      </c>
      <c r="C44" s="3">
        <v>0.14365803816675915</v>
      </c>
      <c r="D44" s="3">
        <v>0.1491546990352558</v>
      </c>
      <c r="E44" s="3">
        <v>0.16519591625618779</v>
      </c>
    </row>
    <row r="45" spans="1:5" ht="15" x14ac:dyDescent="0.25">
      <c r="A45" s="4" t="s">
        <v>44</v>
      </c>
      <c r="B45" s="3">
        <v>0.42316391978303092</v>
      </c>
      <c r="C45" s="3">
        <v>0.35463559252084109</v>
      </c>
      <c r="D45" s="3">
        <v>0.54205288171000676</v>
      </c>
      <c r="E45" s="3">
        <v>0.43</v>
      </c>
    </row>
    <row r="46" spans="1:5" ht="15" x14ac:dyDescent="0.25">
      <c r="A46" s="4" t="s">
        <v>45</v>
      </c>
      <c r="B46" s="3">
        <v>0.23276633675228908</v>
      </c>
      <c r="C46" s="3">
        <v>0.2074210586123274</v>
      </c>
      <c r="D46" s="3">
        <v>0.28511594421635927</v>
      </c>
      <c r="E46" s="3">
        <v>0.22887521885847234</v>
      </c>
    </row>
    <row r="47" spans="1:5" ht="15" x14ac:dyDescent="0.25">
      <c r="A47" s="4" t="s">
        <v>46</v>
      </c>
      <c r="B47" s="3">
        <v>1.0672091017644203</v>
      </c>
      <c r="C47" s="3">
        <v>1.0496532568630115</v>
      </c>
      <c r="D47" s="3">
        <v>1.0666887358708748</v>
      </c>
      <c r="E47" s="3">
        <v>1.0150220895562279</v>
      </c>
    </row>
    <row r="48" spans="1:5" ht="15" x14ac:dyDescent="0.25">
      <c r="A48" s="4" t="s">
        <v>47</v>
      </c>
      <c r="B48" s="3">
        <v>0.42779947269527191</v>
      </c>
      <c r="C48" s="3">
        <v>0.46513012150862992</v>
      </c>
      <c r="D48" s="3">
        <v>0.52289973040603166</v>
      </c>
      <c r="E48" s="3">
        <v>0.5653406895035229</v>
      </c>
    </row>
    <row r="49" spans="1:5" ht="15" x14ac:dyDescent="0.25">
      <c r="A49" s="4" t="s">
        <v>48</v>
      </c>
      <c r="B49" s="3">
        <v>0.12628347922820368</v>
      </c>
      <c r="C49" s="3">
        <v>7.4479780798374251E-2</v>
      </c>
      <c r="D49" s="3">
        <v>0.13243215051711643</v>
      </c>
      <c r="E49" s="3">
        <v>9.7359061457532731E-2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F637-58A2-48F8-A916-6092B8D71E3C}">
  <dimension ref="A1:S50"/>
  <sheetViews>
    <sheetView topLeftCell="A16" workbookViewId="0">
      <selection activeCell="P2" sqref="P1:P1048576"/>
    </sheetView>
  </sheetViews>
  <sheetFormatPr defaultRowHeight="14.25" x14ac:dyDescent="0.2"/>
  <sheetData>
    <row r="1" spans="1:19" ht="15" x14ac:dyDescent="0.2">
      <c r="A1" s="17"/>
      <c r="B1" s="17"/>
      <c r="C1" s="17"/>
      <c r="D1" s="17"/>
      <c r="F1" s="17"/>
      <c r="G1" s="17"/>
      <c r="H1" s="17"/>
      <c r="I1" s="17"/>
      <c r="K1" s="17"/>
      <c r="L1" s="17"/>
      <c r="M1" s="17"/>
      <c r="N1" s="17"/>
      <c r="P1" s="17"/>
      <c r="Q1" s="17"/>
      <c r="R1" s="17"/>
      <c r="S1" s="17"/>
    </row>
    <row r="2" spans="1:19" ht="15" x14ac:dyDescent="0.2">
      <c r="A2" s="5" t="s">
        <v>50</v>
      </c>
      <c r="B2" s="5" t="s">
        <v>51</v>
      </c>
      <c r="C2" s="6" t="s">
        <v>52</v>
      </c>
      <c r="D2" s="5" t="s">
        <v>92</v>
      </c>
      <c r="F2" s="5" t="s">
        <v>50</v>
      </c>
      <c r="G2" s="5" t="s">
        <v>51</v>
      </c>
      <c r="H2" s="6" t="s">
        <v>52</v>
      </c>
      <c r="I2" s="5" t="s">
        <v>92</v>
      </c>
      <c r="K2" s="5" t="s">
        <v>50</v>
      </c>
      <c r="L2" s="5" t="s">
        <v>51</v>
      </c>
      <c r="M2" s="6" t="s">
        <v>52</v>
      </c>
      <c r="N2" s="5" t="s">
        <v>92</v>
      </c>
      <c r="P2" s="5" t="s">
        <v>50</v>
      </c>
      <c r="Q2" s="5" t="s">
        <v>51</v>
      </c>
      <c r="R2" s="6" t="s">
        <v>52</v>
      </c>
      <c r="S2" s="5" t="s">
        <v>92</v>
      </c>
    </row>
    <row r="3" spans="1:19" ht="15" x14ac:dyDescent="0.25">
      <c r="A3" s="2" t="s">
        <v>1</v>
      </c>
      <c r="B3" s="7">
        <v>5441407.5622233106</v>
      </c>
      <c r="C3" s="7">
        <v>6869311.5511227781</v>
      </c>
      <c r="D3" s="8">
        <f>C3-B3</f>
        <v>1427903.9888994675</v>
      </c>
      <c r="F3" s="2" t="s">
        <v>1</v>
      </c>
      <c r="G3" s="7">
        <v>4446262.9921054011</v>
      </c>
      <c r="H3" s="7">
        <v>5699852.4322639965</v>
      </c>
      <c r="I3" s="8">
        <f>H3-G3</f>
        <v>1253589.4401585953</v>
      </c>
      <c r="K3" s="2" t="s">
        <v>1</v>
      </c>
      <c r="L3" s="7">
        <v>4478140.8234913368</v>
      </c>
      <c r="M3" s="7">
        <v>5771422.0174716692</v>
      </c>
      <c r="N3" s="8">
        <f>M3-L3</f>
        <v>1293281.1939803325</v>
      </c>
      <c r="P3" s="2" t="s">
        <v>1</v>
      </c>
      <c r="Q3" s="7">
        <v>4739237.525822117</v>
      </c>
      <c r="R3" s="7">
        <v>6097684.1030197088</v>
      </c>
      <c r="S3" s="8">
        <f>R3-Q3</f>
        <v>1358446.5771975918</v>
      </c>
    </row>
    <row r="4" spans="1:19" ht="15" x14ac:dyDescent="0.25">
      <c r="A4" s="2" t="s">
        <v>2</v>
      </c>
      <c r="B4" s="7">
        <v>3670128.0126361875</v>
      </c>
      <c r="C4" s="7">
        <v>5359081.9790526135</v>
      </c>
      <c r="D4" s="8">
        <f t="shared" ref="D4:D50" si="0">C4-B4</f>
        <v>1688953.966416426</v>
      </c>
      <c r="F4" s="2" t="s">
        <v>2</v>
      </c>
      <c r="G4" s="7">
        <v>3596759.5171464006</v>
      </c>
      <c r="H4" s="7">
        <v>5510088.1061196188</v>
      </c>
      <c r="I4" s="8">
        <f t="shared" ref="I4:I50" si="1">H4-G4</f>
        <v>1913328.5889732181</v>
      </c>
      <c r="K4" s="2" t="s">
        <v>2</v>
      </c>
      <c r="L4" s="7">
        <v>3392841.8253719141</v>
      </c>
      <c r="M4" s="7">
        <v>5139141.1901546065</v>
      </c>
      <c r="N4" s="8">
        <f t="shared" ref="N4:N50" si="2">M4-L4</f>
        <v>1746299.3647826924</v>
      </c>
      <c r="P4" s="2" t="s">
        <v>2</v>
      </c>
      <c r="Q4" s="7">
        <v>3183272.7164548784</v>
      </c>
      <c r="R4" s="7">
        <v>4936492.8685532855</v>
      </c>
      <c r="S4" s="8">
        <f t="shared" ref="S4:S50" si="3">R4-Q4</f>
        <v>1753220.152098407</v>
      </c>
    </row>
    <row r="5" spans="1:19" ht="15" x14ac:dyDescent="0.25">
      <c r="A5" s="2" t="s">
        <v>3</v>
      </c>
      <c r="B5" s="7">
        <v>9470964.5103084687</v>
      </c>
      <c r="C5" s="7">
        <v>10853319.02935994</v>
      </c>
      <c r="D5" s="8">
        <f t="shared" si="0"/>
        <v>1382354.5190514717</v>
      </c>
      <c r="F5" s="2" t="s">
        <v>3</v>
      </c>
      <c r="G5" s="7">
        <v>9819842.5414389968</v>
      </c>
      <c r="H5" s="7">
        <v>11750201.80771707</v>
      </c>
      <c r="I5" s="8">
        <f t="shared" si="1"/>
        <v>1930359.2662780732</v>
      </c>
      <c r="K5" s="2" t="s">
        <v>3</v>
      </c>
      <c r="L5" s="7">
        <v>10955455.069252355</v>
      </c>
      <c r="M5" s="7">
        <v>13018837.954896374</v>
      </c>
      <c r="N5" s="8">
        <f t="shared" si="2"/>
        <v>2063382.8856440187</v>
      </c>
      <c r="P5" s="2" t="s">
        <v>3</v>
      </c>
      <c r="Q5" s="7">
        <v>10367769.910789272</v>
      </c>
      <c r="R5" s="7">
        <v>10803294.31669545</v>
      </c>
      <c r="S5" s="8">
        <f t="shared" si="3"/>
        <v>435524.40590617806</v>
      </c>
    </row>
    <row r="6" spans="1:19" ht="15" x14ac:dyDescent="0.25">
      <c r="A6" s="2" t="s">
        <v>4</v>
      </c>
      <c r="B6" s="7">
        <v>196320.63662345827</v>
      </c>
      <c r="C6" s="7">
        <v>238981.02528265509</v>
      </c>
      <c r="D6" s="8">
        <f t="shared" si="0"/>
        <v>42660.388659196818</v>
      </c>
      <c r="F6" s="2" t="s">
        <v>4</v>
      </c>
      <c r="G6" s="7">
        <v>197874.22859399</v>
      </c>
      <c r="H6" s="7">
        <v>290500.61286251585</v>
      </c>
      <c r="I6" s="8">
        <f t="shared" si="1"/>
        <v>92626.384268525842</v>
      </c>
      <c r="K6" s="2" t="s">
        <v>4</v>
      </c>
      <c r="L6" s="7">
        <v>145303.01966434528</v>
      </c>
      <c r="M6" s="7">
        <v>271548.98422720522</v>
      </c>
      <c r="N6" s="8">
        <f t="shared" si="2"/>
        <v>126245.96456285994</v>
      </c>
      <c r="P6" s="2" t="s">
        <v>4</v>
      </c>
      <c r="Q6" s="7">
        <v>143354.9965346035</v>
      </c>
      <c r="R6" s="7">
        <v>246314.36434670983</v>
      </c>
      <c r="S6" s="8">
        <f t="shared" si="3"/>
        <v>102959.36781210633</v>
      </c>
    </row>
    <row r="7" spans="1:19" ht="15" x14ac:dyDescent="0.25">
      <c r="A7" s="2" t="s">
        <v>5</v>
      </c>
      <c r="B7" s="7">
        <v>9597434.038632378</v>
      </c>
      <c r="C7" s="7">
        <v>11637712.051748345</v>
      </c>
      <c r="D7" s="8">
        <f t="shared" si="0"/>
        <v>2040278.0131159667</v>
      </c>
      <c r="F7" s="2" t="s">
        <v>5</v>
      </c>
      <c r="G7" s="7">
        <v>9322695.9878744334</v>
      </c>
      <c r="H7" s="7">
        <v>11779499.0714003</v>
      </c>
      <c r="I7" s="8">
        <f t="shared" si="1"/>
        <v>2456803.0835258663</v>
      </c>
      <c r="K7" s="2" t="s">
        <v>5</v>
      </c>
      <c r="L7" s="7">
        <v>8110830.6843837555</v>
      </c>
      <c r="M7" s="7">
        <v>10439446.531617774</v>
      </c>
      <c r="N7" s="8">
        <f t="shared" si="2"/>
        <v>2328615.8472340181</v>
      </c>
      <c r="P7" s="2" t="s">
        <v>5</v>
      </c>
      <c r="Q7" s="7">
        <v>9019880.8247242998</v>
      </c>
      <c r="R7" s="7">
        <v>11268811.342740193</v>
      </c>
      <c r="S7" s="8">
        <f t="shared" si="3"/>
        <v>2248930.5180158932</v>
      </c>
    </row>
    <row r="8" spans="1:19" ht="15" x14ac:dyDescent="0.25">
      <c r="A8" s="2" t="s">
        <v>6</v>
      </c>
      <c r="B8" s="7">
        <v>46956791.88378679</v>
      </c>
      <c r="C8" s="7">
        <v>63503900.857724048</v>
      </c>
      <c r="D8" s="8">
        <f t="shared" si="0"/>
        <v>16547108.973937258</v>
      </c>
      <c r="F8" s="2" t="s">
        <v>6</v>
      </c>
      <c r="G8" s="7">
        <v>51366846.667144313</v>
      </c>
      <c r="H8" s="7">
        <v>69848458.689069122</v>
      </c>
      <c r="I8" s="8">
        <f t="shared" si="1"/>
        <v>18481612.021924809</v>
      </c>
      <c r="K8" s="2" t="s">
        <v>6</v>
      </c>
      <c r="L8" s="7">
        <v>43092956.58166521</v>
      </c>
      <c r="M8" s="7">
        <v>60851881.338483617</v>
      </c>
      <c r="N8" s="8">
        <f t="shared" si="2"/>
        <v>17758924.756818406</v>
      </c>
      <c r="P8" s="2" t="s">
        <v>6</v>
      </c>
      <c r="Q8" s="7">
        <v>43784591.319343276</v>
      </c>
      <c r="R8" s="7">
        <v>63120980.77503103</v>
      </c>
      <c r="S8" s="8">
        <f t="shared" si="3"/>
        <v>19336389.455687754</v>
      </c>
    </row>
    <row r="9" spans="1:19" ht="15" x14ac:dyDescent="0.25">
      <c r="A9" s="2" t="s">
        <v>7</v>
      </c>
      <c r="B9" s="7">
        <v>9460684.492475694</v>
      </c>
      <c r="C9" s="7">
        <v>13482969.037901504</v>
      </c>
      <c r="D9" s="8">
        <f t="shared" si="0"/>
        <v>4022284.5454258099</v>
      </c>
      <c r="F9" s="2" t="s">
        <v>7</v>
      </c>
      <c r="G9" s="7">
        <v>10244834.640484663</v>
      </c>
      <c r="H9" s="7">
        <v>13936242.42188072</v>
      </c>
      <c r="I9" s="8">
        <f t="shared" si="1"/>
        <v>3691407.7813960575</v>
      </c>
      <c r="K9" s="2" t="s">
        <v>7</v>
      </c>
      <c r="L9" s="7">
        <v>9296763.5565105863</v>
      </c>
      <c r="M9" s="7">
        <v>13531524.960507313</v>
      </c>
      <c r="N9" s="8">
        <f t="shared" si="2"/>
        <v>4234761.4039967265</v>
      </c>
      <c r="P9" s="2" t="s">
        <v>7</v>
      </c>
      <c r="Q9" s="7">
        <v>9280299.8418669533</v>
      </c>
      <c r="R9" s="7">
        <v>13489069.354990035</v>
      </c>
      <c r="S9" s="8">
        <f t="shared" si="3"/>
        <v>4208769.513123082</v>
      </c>
    </row>
    <row r="10" spans="1:19" ht="15" x14ac:dyDescent="0.25">
      <c r="A10" s="2" t="s">
        <v>8</v>
      </c>
      <c r="B10" s="7">
        <v>990312.08270543534</v>
      </c>
      <c r="C10" s="7">
        <v>1528860.692632128</v>
      </c>
      <c r="D10" s="8">
        <f t="shared" si="0"/>
        <v>538548.60992669268</v>
      </c>
      <c r="F10" s="2" t="s">
        <v>8</v>
      </c>
      <c r="G10" s="7">
        <v>1794242.9723934545</v>
      </c>
      <c r="H10" s="7">
        <v>2597053.1394622591</v>
      </c>
      <c r="I10" s="8">
        <f t="shared" si="1"/>
        <v>802810.16706880461</v>
      </c>
      <c r="K10" s="2" t="s">
        <v>8</v>
      </c>
      <c r="L10" s="7">
        <v>1757992.4262567209</v>
      </c>
      <c r="M10" s="7">
        <v>2492547.4314638083</v>
      </c>
      <c r="N10" s="8">
        <f t="shared" si="2"/>
        <v>734555.00520708738</v>
      </c>
      <c r="P10" s="2" t="s">
        <v>8</v>
      </c>
      <c r="Q10" s="7">
        <v>1729439.1274012292</v>
      </c>
      <c r="R10" s="7">
        <v>2578796.2618433358</v>
      </c>
      <c r="S10" s="8">
        <f t="shared" si="3"/>
        <v>849357.13444210659</v>
      </c>
    </row>
    <row r="11" spans="1:19" ht="15" x14ac:dyDescent="0.25">
      <c r="A11" s="2" t="s">
        <v>9</v>
      </c>
      <c r="B11" s="7">
        <v>39851471.491784662</v>
      </c>
      <c r="C11" s="7">
        <v>49557198.198706418</v>
      </c>
      <c r="D11" s="8">
        <f t="shared" si="0"/>
        <v>9705726.7069217563</v>
      </c>
      <c r="F11" s="2" t="s">
        <v>9</v>
      </c>
      <c r="G11" s="7">
        <v>35051234.386794254</v>
      </c>
      <c r="H11" s="7">
        <v>42640265.926882848</v>
      </c>
      <c r="I11" s="8">
        <f t="shared" si="1"/>
        <v>7589031.540088594</v>
      </c>
      <c r="K11" s="2" t="s">
        <v>9</v>
      </c>
      <c r="L11" s="7">
        <v>34377722.82523983</v>
      </c>
      <c r="M11" s="7">
        <v>41659830.087316625</v>
      </c>
      <c r="N11" s="8">
        <f t="shared" si="2"/>
        <v>7282107.2620767951</v>
      </c>
      <c r="P11" s="2" t="s">
        <v>9</v>
      </c>
      <c r="Q11" s="7">
        <v>35092631.214616872</v>
      </c>
      <c r="R11" s="7">
        <v>54980469.118782945</v>
      </c>
      <c r="S11" s="8">
        <f t="shared" si="3"/>
        <v>19887837.904166073</v>
      </c>
    </row>
    <row r="12" spans="1:19" ht="15" x14ac:dyDescent="0.25">
      <c r="A12" s="2" t="s">
        <v>10</v>
      </c>
      <c r="B12" s="7">
        <v>4016167.0770529928</v>
      </c>
      <c r="C12" s="7">
        <v>7589778.6264094235</v>
      </c>
      <c r="D12" s="8">
        <f t="shared" si="0"/>
        <v>3573611.5493564308</v>
      </c>
      <c r="F12" s="2" t="s">
        <v>10</v>
      </c>
      <c r="G12" s="7">
        <v>3678456.7499057287</v>
      </c>
      <c r="H12" s="7">
        <v>7264360.4991158526</v>
      </c>
      <c r="I12" s="8">
        <f t="shared" si="1"/>
        <v>3585903.7492101239</v>
      </c>
      <c r="K12" s="2" t="s">
        <v>10</v>
      </c>
      <c r="L12" s="7">
        <v>3848522.3411294268</v>
      </c>
      <c r="M12" s="7">
        <v>8195188.705251039</v>
      </c>
      <c r="N12" s="8">
        <f t="shared" si="2"/>
        <v>4346666.3641216122</v>
      </c>
      <c r="P12" s="2" t="s">
        <v>10</v>
      </c>
      <c r="Q12" s="7">
        <v>3455973.0334484968</v>
      </c>
      <c r="R12" s="7">
        <v>7180910.5625469275</v>
      </c>
      <c r="S12" s="8">
        <f t="shared" si="3"/>
        <v>3724937.5290984306</v>
      </c>
    </row>
    <row r="13" spans="1:19" ht="15" x14ac:dyDescent="0.25">
      <c r="A13" s="2" t="s">
        <v>11</v>
      </c>
      <c r="B13" s="7">
        <v>71906572.440687597</v>
      </c>
      <c r="C13" s="7">
        <v>100736479.71326454</v>
      </c>
      <c r="D13" s="8">
        <f t="shared" si="0"/>
        <v>28829907.272576943</v>
      </c>
      <c r="F13" s="2" t="s">
        <v>11</v>
      </c>
      <c r="G13" s="7">
        <v>74799771.350300759</v>
      </c>
      <c r="H13" s="7">
        <v>103557227.51523334</v>
      </c>
      <c r="I13" s="8">
        <f t="shared" si="1"/>
        <v>28757456.164932579</v>
      </c>
      <c r="K13" s="2" t="s">
        <v>11</v>
      </c>
      <c r="L13" s="7">
        <v>67803389.937231287</v>
      </c>
      <c r="M13" s="7">
        <v>94442397.838657528</v>
      </c>
      <c r="N13" s="8">
        <f t="shared" si="2"/>
        <v>26639007.901426241</v>
      </c>
      <c r="P13" s="2" t="s">
        <v>11</v>
      </c>
      <c r="Q13" s="7">
        <v>61596494.820326328</v>
      </c>
      <c r="R13" s="7">
        <v>75952864.062330872</v>
      </c>
      <c r="S13" s="8">
        <f t="shared" si="3"/>
        <v>14356369.242004544</v>
      </c>
    </row>
    <row r="14" spans="1:19" ht="15" x14ac:dyDescent="0.25">
      <c r="A14" s="2" t="s">
        <v>12</v>
      </c>
      <c r="B14" s="7">
        <v>10086514.534011006</v>
      </c>
      <c r="C14" s="7">
        <v>11933118.378665989</v>
      </c>
      <c r="D14" s="8">
        <f t="shared" si="0"/>
        <v>1846603.8446549829</v>
      </c>
      <c r="F14" s="2" t="s">
        <v>12</v>
      </c>
      <c r="G14" s="7">
        <v>10452106.564791515</v>
      </c>
      <c r="H14" s="7">
        <v>11406920.289325563</v>
      </c>
      <c r="I14" s="8">
        <f t="shared" si="1"/>
        <v>954813.72453404777</v>
      </c>
      <c r="K14" s="2" t="s">
        <v>12</v>
      </c>
      <c r="L14" s="7">
        <v>9988210.9132980369</v>
      </c>
      <c r="M14" s="7">
        <v>10713947.929880794</v>
      </c>
      <c r="N14" s="8">
        <f t="shared" si="2"/>
        <v>725737.01658275723</v>
      </c>
      <c r="P14" s="2" t="s">
        <v>12</v>
      </c>
      <c r="Q14" s="7">
        <v>6482709.6639090506</v>
      </c>
      <c r="R14" s="7">
        <v>9209519.2420046348</v>
      </c>
      <c r="S14" s="8">
        <f t="shared" si="3"/>
        <v>2726809.5780955842</v>
      </c>
    </row>
    <row r="15" spans="1:19" ht="15" x14ac:dyDescent="0.25">
      <c r="A15" s="2" t="s">
        <v>13</v>
      </c>
      <c r="B15" s="7">
        <v>2812807.8859781898</v>
      </c>
      <c r="C15" s="7">
        <v>3342466.7452794556</v>
      </c>
      <c r="D15" s="8">
        <f t="shared" si="0"/>
        <v>529658.85930126579</v>
      </c>
      <c r="F15" s="2" t="s">
        <v>13</v>
      </c>
      <c r="G15" s="7">
        <v>2670501.2919931933</v>
      </c>
      <c r="H15" s="7">
        <v>3079638.2953201812</v>
      </c>
      <c r="I15" s="8">
        <f t="shared" si="1"/>
        <v>409137.00332698785</v>
      </c>
      <c r="K15" s="2" t="s">
        <v>13</v>
      </c>
      <c r="L15" s="7">
        <v>3218072.7065748647</v>
      </c>
      <c r="M15" s="7">
        <v>3191485.0747164465</v>
      </c>
      <c r="N15" s="8">
        <f t="shared" si="2"/>
        <v>-26587.63185841823</v>
      </c>
      <c r="P15" s="2" t="s">
        <v>13</v>
      </c>
      <c r="Q15" s="7">
        <v>2779403.7318490883</v>
      </c>
      <c r="R15" s="7">
        <v>3381736.099773454</v>
      </c>
      <c r="S15" s="8">
        <f t="shared" si="3"/>
        <v>602332.36792436568</v>
      </c>
    </row>
    <row r="16" spans="1:19" ht="15" x14ac:dyDescent="0.25">
      <c r="A16" s="2" t="s">
        <v>14</v>
      </c>
      <c r="B16" s="7">
        <v>13088479.73543065</v>
      </c>
      <c r="C16" s="7">
        <v>15538739.863721345</v>
      </c>
      <c r="D16" s="8">
        <f t="shared" si="0"/>
        <v>2450260.1282906942</v>
      </c>
      <c r="F16" s="2" t="s">
        <v>14</v>
      </c>
      <c r="G16" s="7">
        <v>13639447.759698056</v>
      </c>
      <c r="H16" s="7">
        <v>15579676.140965596</v>
      </c>
      <c r="I16" s="8">
        <f t="shared" si="1"/>
        <v>1940228.3812675402</v>
      </c>
      <c r="K16" s="2" t="s">
        <v>14</v>
      </c>
      <c r="L16" s="7">
        <v>13655925.245992579</v>
      </c>
      <c r="M16" s="7">
        <v>16765361.09045998</v>
      </c>
      <c r="N16" s="8">
        <f t="shared" si="2"/>
        <v>3109435.8444674015</v>
      </c>
      <c r="P16" s="2" t="s">
        <v>14</v>
      </c>
      <c r="Q16" s="7">
        <v>8734923.862767756</v>
      </c>
      <c r="R16" s="7">
        <v>16641543.86108274</v>
      </c>
      <c r="S16" s="8">
        <f t="shared" si="3"/>
        <v>7906619.9983149841</v>
      </c>
    </row>
    <row r="17" spans="1:19" ht="15" x14ac:dyDescent="0.25">
      <c r="A17" s="2" t="s">
        <v>15</v>
      </c>
      <c r="B17" s="7">
        <v>2580066.4185373187</v>
      </c>
      <c r="C17" s="7">
        <v>3554224.8723887154</v>
      </c>
      <c r="D17" s="8">
        <f t="shared" si="0"/>
        <v>974158.45385139668</v>
      </c>
      <c r="F17" s="2" t="s">
        <v>15</v>
      </c>
      <c r="G17" s="7">
        <v>2549709.8202592195</v>
      </c>
      <c r="H17" s="7">
        <v>3507353.633888144</v>
      </c>
      <c r="I17" s="8">
        <f t="shared" si="1"/>
        <v>957643.81362892454</v>
      </c>
      <c r="K17" s="2" t="s">
        <v>15</v>
      </c>
      <c r="L17" s="7">
        <v>2080172.7781567373</v>
      </c>
      <c r="M17" s="7">
        <v>3103584.5937919393</v>
      </c>
      <c r="N17" s="8">
        <f t="shared" si="2"/>
        <v>1023411.815635202</v>
      </c>
      <c r="P17" s="2" t="s">
        <v>15</v>
      </c>
      <c r="Q17" s="7">
        <v>2311657.2200146569</v>
      </c>
      <c r="R17" s="7">
        <v>2660405.5480843149</v>
      </c>
      <c r="S17" s="8">
        <f t="shared" si="3"/>
        <v>348748.32806965802</v>
      </c>
    </row>
    <row r="18" spans="1:19" ht="15" x14ac:dyDescent="0.25">
      <c r="A18" s="2" t="s">
        <v>16</v>
      </c>
      <c r="B18" s="7">
        <v>26582231.719132658</v>
      </c>
      <c r="C18" s="7">
        <v>32203854.468461357</v>
      </c>
      <c r="D18" s="8">
        <f t="shared" si="0"/>
        <v>5621622.749328699</v>
      </c>
      <c r="F18" s="2" t="s">
        <v>16</v>
      </c>
      <c r="G18" s="7">
        <v>24346995.038003612</v>
      </c>
      <c r="H18" s="7">
        <v>29763325.241903048</v>
      </c>
      <c r="I18" s="8">
        <f t="shared" si="1"/>
        <v>5416330.2038994357</v>
      </c>
      <c r="K18" s="2" t="s">
        <v>16</v>
      </c>
      <c r="L18" s="7">
        <v>21435434.465579536</v>
      </c>
      <c r="M18" s="7">
        <v>29375432.551397562</v>
      </c>
      <c r="N18" s="8">
        <f t="shared" si="2"/>
        <v>7939998.0858180262</v>
      </c>
      <c r="P18" s="2" t="s">
        <v>16</v>
      </c>
      <c r="Q18" s="7">
        <v>20726443.24791326</v>
      </c>
      <c r="R18" s="7">
        <v>31192545.851028044</v>
      </c>
      <c r="S18" s="8">
        <f t="shared" si="3"/>
        <v>10466102.603114784</v>
      </c>
    </row>
    <row r="19" spans="1:19" ht="15" x14ac:dyDescent="0.25">
      <c r="A19" s="2" t="s">
        <v>17</v>
      </c>
      <c r="B19" s="7">
        <v>4068928.8062402015</v>
      </c>
      <c r="C19" s="7">
        <v>6069570.5684798192</v>
      </c>
      <c r="D19" s="8">
        <f t="shared" si="0"/>
        <v>2000641.7622396178</v>
      </c>
      <c r="F19" s="2" t="s">
        <v>17</v>
      </c>
      <c r="G19" s="7">
        <v>7206146.4583432898</v>
      </c>
      <c r="H19" s="7">
        <v>9156903.5881317351</v>
      </c>
      <c r="I19" s="8">
        <f t="shared" si="1"/>
        <v>1950757.1297884453</v>
      </c>
      <c r="K19" s="2" t="s">
        <v>17</v>
      </c>
      <c r="L19" s="7">
        <v>5779364.0163827026</v>
      </c>
      <c r="M19" s="7">
        <v>7143540.5050474899</v>
      </c>
      <c r="N19" s="8">
        <f t="shared" si="2"/>
        <v>1364176.4886647873</v>
      </c>
      <c r="P19" s="2" t="s">
        <v>17</v>
      </c>
      <c r="Q19" s="7">
        <v>6438045.5002644705</v>
      </c>
      <c r="R19" s="7">
        <v>9213116.6328323111</v>
      </c>
      <c r="S19" s="8">
        <f t="shared" si="3"/>
        <v>2775071.1325678406</v>
      </c>
    </row>
    <row r="20" spans="1:19" ht="15" x14ac:dyDescent="0.25">
      <c r="A20" s="2" t="s">
        <v>18</v>
      </c>
      <c r="B20" s="7">
        <v>170806.35502615539</v>
      </c>
      <c r="C20" s="7">
        <v>302218.05883637472</v>
      </c>
      <c r="D20" s="8">
        <f t="shared" si="0"/>
        <v>131411.70381021933</v>
      </c>
      <c r="F20" s="2" t="s">
        <v>18</v>
      </c>
      <c r="G20" s="7">
        <v>181180.77633841152</v>
      </c>
      <c r="H20" s="7">
        <v>323286.12019603112</v>
      </c>
      <c r="I20" s="8">
        <f t="shared" si="1"/>
        <v>142105.34385761959</v>
      </c>
      <c r="K20" s="2" t="s">
        <v>18</v>
      </c>
      <c r="L20" s="7">
        <v>157478.36810939509</v>
      </c>
      <c r="M20" s="7">
        <v>302122.28467962751</v>
      </c>
      <c r="N20" s="8">
        <f t="shared" si="2"/>
        <v>144643.91657023242</v>
      </c>
      <c r="P20" s="2" t="s">
        <v>18</v>
      </c>
      <c r="Q20" s="7">
        <v>160647.28553605895</v>
      </c>
      <c r="R20" s="7">
        <v>296241.29653540975</v>
      </c>
      <c r="S20" s="8">
        <f t="shared" si="3"/>
        <v>135594.01099935081</v>
      </c>
    </row>
    <row r="21" spans="1:19" ht="15" x14ac:dyDescent="0.25">
      <c r="A21" s="2" t="s">
        <v>19</v>
      </c>
      <c r="B21" s="7">
        <v>1789401.9095366583</v>
      </c>
      <c r="C21" s="7">
        <v>3048078.5927647073</v>
      </c>
      <c r="D21" s="8">
        <f t="shared" si="0"/>
        <v>1258676.683228049</v>
      </c>
      <c r="F21" s="2" t="s">
        <v>19</v>
      </c>
      <c r="G21" s="7">
        <v>3455301.4845656785</v>
      </c>
      <c r="H21" s="7">
        <v>5164222.0741279442</v>
      </c>
      <c r="I21" s="8">
        <f t="shared" si="1"/>
        <v>1708920.5895622657</v>
      </c>
      <c r="K21" s="2" t="s">
        <v>19</v>
      </c>
      <c r="L21" s="7">
        <v>3360529.8912733807</v>
      </c>
      <c r="M21" s="7">
        <v>4785184.4427159885</v>
      </c>
      <c r="N21" s="8">
        <f t="shared" si="2"/>
        <v>1424654.5514426078</v>
      </c>
      <c r="P21" s="2" t="s">
        <v>19</v>
      </c>
      <c r="Q21" s="7">
        <v>3448443.6432092837</v>
      </c>
      <c r="R21" s="7">
        <v>5418830.6866020067</v>
      </c>
      <c r="S21" s="8">
        <f t="shared" si="3"/>
        <v>1970387.043392723</v>
      </c>
    </row>
    <row r="22" spans="1:19" ht="15" x14ac:dyDescent="0.25">
      <c r="A22" s="2" t="s">
        <v>20</v>
      </c>
      <c r="B22" s="7">
        <v>34301.353092140715</v>
      </c>
      <c r="C22" s="7">
        <v>27694.226245678459</v>
      </c>
      <c r="D22" s="8">
        <f t="shared" si="0"/>
        <v>-6607.1268464622553</v>
      </c>
      <c r="F22" s="2" t="s">
        <v>20</v>
      </c>
      <c r="G22" s="7">
        <v>29056.928743072902</v>
      </c>
      <c r="H22" s="7">
        <v>22518.840304362806</v>
      </c>
      <c r="I22" s="8">
        <f t="shared" si="1"/>
        <v>-6538.0884387100959</v>
      </c>
      <c r="K22" s="2" t="s">
        <v>20</v>
      </c>
      <c r="L22" s="7">
        <v>7659.8379827546923</v>
      </c>
      <c r="M22" s="7">
        <v>24621.631793078275</v>
      </c>
      <c r="N22" s="8">
        <f t="shared" si="2"/>
        <v>16961.793810323583</v>
      </c>
      <c r="P22" s="2" t="s">
        <v>20</v>
      </c>
      <c r="Q22" s="7">
        <v>6693.1432124087478</v>
      </c>
      <c r="R22" s="7">
        <v>21177.121910484861</v>
      </c>
      <c r="S22" s="8">
        <f t="shared" si="3"/>
        <v>14483.978698076113</v>
      </c>
    </row>
    <row r="23" spans="1:19" ht="15" x14ac:dyDescent="0.25">
      <c r="A23" s="2" t="s">
        <v>21</v>
      </c>
      <c r="B23" s="7">
        <v>3387622.320967915</v>
      </c>
      <c r="C23" s="7">
        <v>6311882.8582702735</v>
      </c>
      <c r="D23" s="8">
        <f t="shared" si="0"/>
        <v>2924260.5373023585</v>
      </c>
      <c r="F23" s="2" t="s">
        <v>21</v>
      </c>
      <c r="G23" s="7">
        <v>3185172.5711619677</v>
      </c>
      <c r="H23" s="7">
        <v>6504119.5896402271</v>
      </c>
      <c r="I23" s="8">
        <f t="shared" si="1"/>
        <v>3318947.0184782594</v>
      </c>
      <c r="K23" s="2" t="s">
        <v>21</v>
      </c>
      <c r="L23" s="7">
        <v>3029207.9407857056</v>
      </c>
      <c r="M23" s="7">
        <v>5816344.1055654194</v>
      </c>
      <c r="N23" s="8">
        <f t="shared" si="2"/>
        <v>2787136.1647797138</v>
      </c>
      <c r="P23" s="2" t="s">
        <v>21</v>
      </c>
      <c r="Q23" s="7">
        <v>2923654.1409595227</v>
      </c>
      <c r="R23" s="7">
        <v>5580077.0570362424</v>
      </c>
      <c r="S23" s="8">
        <f t="shared" si="3"/>
        <v>2656422.9160767198</v>
      </c>
    </row>
    <row r="24" spans="1:19" ht="15" x14ac:dyDescent="0.25">
      <c r="A24" s="2" t="s">
        <v>22</v>
      </c>
      <c r="B24" s="7">
        <v>31032384.643158641</v>
      </c>
      <c r="C24" s="7">
        <v>35402102.503174148</v>
      </c>
      <c r="D24" s="8">
        <f t="shared" si="0"/>
        <v>4369717.8600155078</v>
      </c>
      <c r="F24" s="2" t="s">
        <v>22</v>
      </c>
      <c r="G24" s="7">
        <v>31318066.215089437</v>
      </c>
      <c r="H24" s="7">
        <v>35236809.048284627</v>
      </c>
      <c r="I24" s="8">
        <f t="shared" si="1"/>
        <v>3918742.8331951909</v>
      </c>
      <c r="K24" s="2" t="s">
        <v>22</v>
      </c>
      <c r="L24" s="7">
        <v>28602995.079016909</v>
      </c>
      <c r="M24" s="7">
        <v>32080852.202112976</v>
      </c>
      <c r="N24" s="8">
        <f t="shared" si="2"/>
        <v>3477857.1230960675</v>
      </c>
      <c r="P24" s="2" t="s">
        <v>22</v>
      </c>
      <c r="Q24" s="7">
        <v>35245464.619697146</v>
      </c>
      <c r="R24" s="7">
        <v>41628368.589608729</v>
      </c>
      <c r="S24" s="8">
        <f t="shared" si="3"/>
        <v>6382903.9699115828</v>
      </c>
    </row>
    <row r="25" spans="1:19" ht="15" x14ac:dyDescent="0.25">
      <c r="A25" s="2" t="s">
        <v>23</v>
      </c>
      <c r="B25" s="7">
        <v>2098338.0076565724</v>
      </c>
      <c r="C25" s="7">
        <v>3414028.0501351515</v>
      </c>
      <c r="D25" s="8">
        <f t="shared" si="0"/>
        <v>1315690.0424785791</v>
      </c>
      <c r="F25" s="2" t="s">
        <v>23</v>
      </c>
      <c r="G25" s="7">
        <v>2509865.7346164682</v>
      </c>
      <c r="H25" s="7">
        <v>3996358.0315578165</v>
      </c>
      <c r="I25" s="8">
        <f t="shared" si="1"/>
        <v>1486492.2969413484</v>
      </c>
      <c r="K25" s="2" t="s">
        <v>23</v>
      </c>
      <c r="L25" s="7">
        <v>2903447.2440139977</v>
      </c>
      <c r="M25" s="7">
        <v>4494805.4760708492</v>
      </c>
      <c r="N25" s="8">
        <f t="shared" si="2"/>
        <v>1591358.2320568515</v>
      </c>
      <c r="P25" s="2" t="s">
        <v>23</v>
      </c>
      <c r="Q25" s="7">
        <v>2620370.2165433271</v>
      </c>
      <c r="R25" s="7">
        <v>3845562.9515269636</v>
      </c>
      <c r="S25" s="8">
        <f t="shared" si="3"/>
        <v>1225192.7349836365</v>
      </c>
    </row>
    <row r="26" spans="1:19" ht="15" x14ac:dyDescent="0.25">
      <c r="A26" s="2" t="s">
        <v>24</v>
      </c>
      <c r="B26" s="7">
        <v>20428646.832542211</v>
      </c>
      <c r="C26" s="7">
        <v>25228424.67571725</v>
      </c>
      <c r="D26" s="8">
        <f t="shared" si="0"/>
        <v>4799777.8431750387</v>
      </c>
      <c r="F26" s="2" t="s">
        <v>24</v>
      </c>
      <c r="G26" s="7">
        <v>18818677.266231094</v>
      </c>
      <c r="H26" s="7">
        <v>22058300.26967296</v>
      </c>
      <c r="I26" s="8">
        <f t="shared" si="1"/>
        <v>3239623.0034418665</v>
      </c>
      <c r="K26" s="2" t="s">
        <v>24</v>
      </c>
      <c r="L26" s="7">
        <v>25887204.627249762</v>
      </c>
      <c r="M26" s="7">
        <v>29802788.360628616</v>
      </c>
      <c r="N26" s="8">
        <f t="shared" si="2"/>
        <v>3915583.7333788536</v>
      </c>
      <c r="P26" s="2" t="s">
        <v>24</v>
      </c>
      <c r="Q26" s="7">
        <v>16011122.749653673</v>
      </c>
      <c r="R26" s="7">
        <v>18953296.459510528</v>
      </c>
      <c r="S26" s="8">
        <f t="shared" si="3"/>
        <v>2942173.7098568548</v>
      </c>
    </row>
    <row r="27" spans="1:19" ht="15" x14ac:dyDescent="0.25">
      <c r="A27" s="2" t="s">
        <v>25</v>
      </c>
      <c r="B27" s="7">
        <v>5360140.3410108695</v>
      </c>
      <c r="C27" s="7">
        <v>11510743.549991731</v>
      </c>
      <c r="D27" s="8">
        <f t="shared" si="0"/>
        <v>6150603.2089808611</v>
      </c>
      <c r="F27" s="2" t="s">
        <v>25</v>
      </c>
      <c r="G27" s="7">
        <v>6486921.2694694186</v>
      </c>
      <c r="H27" s="7">
        <v>13578200.979422051</v>
      </c>
      <c r="I27" s="8">
        <f t="shared" si="1"/>
        <v>7091279.7099526329</v>
      </c>
      <c r="K27" s="2" t="s">
        <v>25</v>
      </c>
      <c r="L27" s="7">
        <v>6141718.6673900513</v>
      </c>
      <c r="M27" s="7">
        <v>13122117.291826608</v>
      </c>
      <c r="N27" s="8">
        <f t="shared" si="2"/>
        <v>6980398.6244365564</v>
      </c>
      <c r="P27" s="2" t="s">
        <v>25</v>
      </c>
      <c r="Q27" s="7">
        <v>5943852.2249855464</v>
      </c>
      <c r="R27" s="7">
        <v>12685460.896117531</v>
      </c>
      <c r="S27" s="8">
        <f t="shared" si="3"/>
        <v>6741608.6711319843</v>
      </c>
    </row>
    <row r="28" spans="1:19" ht="15" x14ac:dyDescent="0.25">
      <c r="A28" s="2" t="s">
        <v>26</v>
      </c>
      <c r="B28" s="7">
        <v>533516.02582038229</v>
      </c>
      <c r="C28" s="7">
        <v>948143.09258473315</v>
      </c>
      <c r="D28" s="8">
        <f t="shared" si="0"/>
        <v>414627.06676435086</v>
      </c>
      <c r="F28" s="2" t="s">
        <v>26</v>
      </c>
      <c r="G28" s="7">
        <v>511112.6320281917</v>
      </c>
      <c r="H28" s="7">
        <v>893813.42367963609</v>
      </c>
      <c r="I28" s="8">
        <f t="shared" si="1"/>
        <v>382700.79165144439</v>
      </c>
      <c r="K28" s="2" t="s">
        <v>26</v>
      </c>
      <c r="L28" s="7">
        <v>481412.01817262283</v>
      </c>
      <c r="M28" s="7">
        <v>805193.9065551284</v>
      </c>
      <c r="N28" s="8">
        <f t="shared" si="2"/>
        <v>323781.88838250557</v>
      </c>
      <c r="P28" s="2" t="s">
        <v>26</v>
      </c>
      <c r="Q28" s="7">
        <v>418521.64052498853</v>
      </c>
      <c r="R28" s="7">
        <v>900960.00619022758</v>
      </c>
      <c r="S28" s="8">
        <f t="shared" si="3"/>
        <v>482438.36566523905</v>
      </c>
    </row>
    <row r="29" spans="1:19" ht="15" x14ac:dyDescent="0.25">
      <c r="A29" s="2" t="s">
        <v>27</v>
      </c>
      <c r="B29" s="7">
        <v>3868713.5646063513</v>
      </c>
      <c r="C29" s="7">
        <v>5051095.6607238846</v>
      </c>
      <c r="D29" s="8">
        <f t="shared" si="0"/>
        <v>1182382.0961175333</v>
      </c>
      <c r="F29" s="2" t="s">
        <v>27</v>
      </c>
      <c r="G29" s="7">
        <v>3841283.4666414401</v>
      </c>
      <c r="H29" s="7">
        <v>4980351.839360279</v>
      </c>
      <c r="I29" s="8">
        <f t="shared" si="1"/>
        <v>1139068.372718839</v>
      </c>
      <c r="K29" s="2" t="s">
        <v>27</v>
      </c>
      <c r="L29" s="7">
        <v>3790684.6271032328</v>
      </c>
      <c r="M29" s="7">
        <v>4777361.5077715172</v>
      </c>
      <c r="N29" s="8">
        <f t="shared" si="2"/>
        <v>986676.88066828437</v>
      </c>
      <c r="P29" s="2" t="s">
        <v>27</v>
      </c>
      <c r="Q29" s="7">
        <v>3405600.6101355487</v>
      </c>
      <c r="R29" s="7">
        <v>5316988.300378738</v>
      </c>
      <c r="S29" s="8">
        <f t="shared" si="3"/>
        <v>1911387.6902431892</v>
      </c>
    </row>
    <row r="30" spans="1:19" ht="15" x14ac:dyDescent="0.25">
      <c r="A30" s="2" t="s">
        <v>77</v>
      </c>
      <c r="B30" s="7">
        <v>27844287.600350257</v>
      </c>
      <c r="C30" s="7">
        <v>38264473.676804803</v>
      </c>
      <c r="D30" s="8">
        <f t="shared" si="0"/>
        <v>10420186.076454546</v>
      </c>
      <c r="F30" s="2" t="s">
        <v>77</v>
      </c>
      <c r="G30" s="7">
        <v>28396460.575557467</v>
      </c>
      <c r="H30" s="7">
        <v>39019416.714206383</v>
      </c>
      <c r="I30" s="8">
        <f t="shared" si="1"/>
        <v>10622956.138648916</v>
      </c>
      <c r="K30" s="2" t="s">
        <v>77</v>
      </c>
      <c r="L30" s="7">
        <v>26841890.120313536</v>
      </c>
      <c r="M30" s="7">
        <v>37161825.781455405</v>
      </c>
      <c r="N30" s="8">
        <f t="shared" si="2"/>
        <v>10319935.661141869</v>
      </c>
      <c r="P30" s="2" t="s">
        <v>77</v>
      </c>
      <c r="Q30" s="7">
        <v>23161579.344339054</v>
      </c>
      <c r="R30" s="7">
        <v>29891873.645014703</v>
      </c>
      <c r="S30" s="8">
        <f t="shared" si="3"/>
        <v>6730294.3006756492</v>
      </c>
    </row>
    <row r="31" spans="1:19" ht="15" x14ac:dyDescent="0.25">
      <c r="A31" s="2" t="s">
        <v>29</v>
      </c>
      <c r="B31" s="7">
        <v>351479024.99074221</v>
      </c>
      <c r="C31" s="7">
        <v>557908675.09043515</v>
      </c>
      <c r="D31" s="8">
        <f t="shared" si="0"/>
        <v>206429650.09969294</v>
      </c>
      <c r="F31" s="2" t="s">
        <v>29</v>
      </c>
      <c r="G31" s="7">
        <v>380490889.72877902</v>
      </c>
      <c r="H31" s="7">
        <v>577702020.95889652</v>
      </c>
      <c r="I31" s="8">
        <f t="shared" si="1"/>
        <v>197211131.2301175</v>
      </c>
      <c r="K31" s="2" t="s">
        <v>29</v>
      </c>
      <c r="L31" s="7">
        <v>349422982.77334791</v>
      </c>
      <c r="M31" s="7">
        <v>567205165.44341171</v>
      </c>
      <c r="N31" s="8">
        <f t="shared" si="2"/>
        <v>217782182.67006379</v>
      </c>
      <c r="P31" s="2" t="s">
        <v>29</v>
      </c>
      <c r="Q31" s="7">
        <v>350158739.54495734</v>
      </c>
      <c r="R31" s="7">
        <v>569516193.92994332</v>
      </c>
      <c r="S31" s="8">
        <f t="shared" si="3"/>
        <v>219357454.38498598</v>
      </c>
    </row>
    <row r="32" spans="1:19" ht="15" x14ac:dyDescent="0.25">
      <c r="A32" s="2" t="s">
        <v>30</v>
      </c>
      <c r="B32" s="7">
        <v>10782182.406427765</v>
      </c>
      <c r="C32" s="7">
        <v>15835698.730914362</v>
      </c>
      <c r="D32" s="8">
        <f t="shared" si="0"/>
        <v>5053516.3244865965</v>
      </c>
      <c r="F32" s="2" t="s">
        <v>30</v>
      </c>
      <c r="G32" s="7">
        <v>10761601.97745751</v>
      </c>
      <c r="H32" s="7">
        <v>15929874.974503338</v>
      </c>
      <c r="I32" s="8">
        <f t="shared" si="1"/>
        <v>5168272.997045828</v>
      </c>
      <c r="K32" s="2" t="s">
        <v>30</v>
      </c>
      <c r="L32" s="7">
        <v>10317756.163814891</v>
      </c>
      <c r="M32" s="7">
        <v>15717779.626813656</v>
      </c>
      <c r="N32" s="8">
        <f t="shared" si="2"/>
        <v>5400023.4629987646</v>
      </c>
      <c r="P32" s="2" t="s">
        <v>30</v>
      </c>
      <c r="Q32" s="7">
        <v>9826770.4017335307</v>
      </c>
      <c r="R32" s="7">
        <v>14567251.039152306</v>
      </c>
      <c r="S32" s="8">
        <f t="shared" si="3"/>
        <v>4740480.6374187749</v>
      </c>
    </row>
    <row r="33" spans="1:19" ht="15" x14ac:dyDescent="0.25">
      <c r="A33" s="2" t="s">
        <v>31</v>
      </c>
      <c r="B33" s="7">
        <v>587965518.84914517</v>
      </c>
      <c r="C33" s="7">
        <v>444761712.38059825</v>
      </c>
      <c r="D33" s="8">
        <f t="shared" si="0"/>
        <v>-143203806.46854693</v>
      </c>
      <c r="F33" s="2" t="s">
        <v>31</v>
      </c>
      <c r="G33" s="7">
        <v>618577267.74146926</v>
      </c>
      <c r="H33" s="7">
        <v>431057669.00706184</v>
      </c>
      <c r="I33" s="8">
        <f t="shared" si="1"/>
        <v>-187519598.73440742</v>
      </c>
      <c r="K33" s="2" t="s">
        <v>31</v>
      </c>
      <c r="L33" s="7">
        <v>625130820.65204704</v>
      </c>
      <c r="M33" s="7">
        <v>428231741.34551424</v>
      </c>
      <c r="N33" s="8">
        <f t="shared" si="2"/>
        <v>-196899079.3065328</v>
      </c>
      <c r="P33" s="2" t="s">
        <v>31</v>
      </c>
      <c r="Q33" s="7">
        <v>649406469.50724936</v>
      </c>
      <c r="R33" s="7">
        <v>433288276.41839379</v>
      </c>
      <c r="S33" s="8">
        <f t="shared" si="3"/>
        <v>-216118193.08885556</v>
      </c>
    </row>
    <row r="34" spans="1:19" ht="15" x14ac:dyDescent="0.25">
      <c r="A34" s="2" t="s">
        <v>32</v>
      </c>
      <c r="B34" s="7">
        <v>76676164.434635296</v>
      </c>
      <c r="C34" s="7">
        <v>111826224.42631659</v>
      </c>
      <c r="D34" s="8">
        <f t="shared" si="0"/>
        <v>35150059.991681293</v>
      </c>
      <c r="F34" s="2" t="s">
        <v>32</v>
      </c>
      <c r="G34" s="7">
        <v>86126328.601186603</v>
      </c>
      <c r="H34" s="7">
        <v>111704817.55605926</v>
      </c>
      <c r="I34" s="8">
        <f t="shared" si="1"/>
        <v>25578488.954872653</v>
      </c>
      <c r="K34" s="2" t="s">
        <v>32</v>
      </c>
      <c r="L34" s="7">
        <v>91925073.200342566</v>
      </c>
      <c r="M34" s="7">
        <v>116789256.1915219</v>
      </c>
      <c r="N34" s="8">
        <f t="shared" si="2"/>
        <v>24864182.991179332</v>
      </c>
      <c r="P34" s="2" t="s">
        <v>32</v>
      </c>
      <c r="Q34" s="7">
        <v>96068570.219469979</v>
      </c>
      <c r="R34" s="7">
        <v>120852638.13245125</v>
      </c>
      <c r="S34" s="8">
        <f t="shared" si="3"/>
        <v>24784067.912981272</v>
      </c>
    </row>
    <row r="35" spans="1:19" ht="15" x14ac:dyDescent="0.25">
      <c r="A35" s="2" t="s">
        <v>33</v>
      </c>
      <c r="B35" s="7">
        <v>6039680.065804841</v>
      </c>
      <c r="C35" s="7">
        <v>6056543.5421907306</v>
      </c>
      <c r="D35" s="8">
        <f t="shared" si="0"/>
        <v>16863.476385889575</v>
      </c>
      <c r="F35" s="2" t="s">
        <v>33</v>
      </c>
      <c r="G35" s="7">
        <v>5932555.4180466421</v>
      </c>
      <c r="H35" s="7">
        <v>6270977.9394880589</v>
      </c>
      <c r="I35" s="8">
        <f t="shared" si="1"/>
        <v>338422.52144141681</v>
      </c>
      <c r="K35" s="2" t="s">
        <v>33</v>
      </c>
      <c r="L35" s="7">
        <v>5516436.558425542</v>
      </c>
      <c r="M35" s="7">
        <v>5753590.5341956709</v>
      </c>
      <c r="N35" s="8">
        <f t="shared" si="2"/>
        <v>237153.97577012889</v>
      </c>
      <c r="P35" s="2" t="s">
        <v>33</v>
      </c>
      <c r="Q35" s="7">
        <v>5245081.3810703773</v>
      </c>
      <c r="R35" s="7">
        <v>5282558.5169577403</v>
      </c>
      <c r="S35" s="8">
        <f t="shared" si="3"/>
        <v>37477.135887362994</v>
      </c>
    </row>
    <row r="36" spans="1:19" ht="15" x14ac:dyDescent="0.25">
      <c r="A36" s="2" t="s">
        <v>34</v>
      </c>
      <c r="B36" s="7">
        <v>195311138.00383744</v>
      </c>
      <c r="C36" s="7">
        <v>172428031.28928208</v>
      </c>
      <c r="D36" s="8">
        <f t="shared" si="0"/>
        <v>-22883106.714555353</v>
      </c>
      <c r="F36" s="2" t="s">
        <v>34</v>
      </c>
      <c r="G36" s="7">
        <v>218227000.99251097</v>
      </c>
      <c r="H36" s="7">
        <v>175183183.16670811</v>
      </c>
      <c r="I36" s="8">
        <f t="shared" si="1"/>
        <v>-43043817.825802863</v>
      </c>
      <c r="K36" s="2" t="s">
        <v>34</v>
      </c>
      <c r="L36" s="7">
        <v>236329275.60722667</v>
      </c>
      <c r="M36" s="7">
        <v>180149620.41893929</v>
      </c>
      <c r="N36" s="8">
        <f t="shared" si="2"/>
        <v>-56179655.188287377</v>
      </c>
      <c r="P36" s="2" t="s">
        <v>34</v>
      </c>
      <c r="Q36" s="7">
        <v>242479383.29689911</v>
      </c>
      <c r="R36" s="7">
        <v>182745773.20746416</v>
      </c>
      <c r="S36" s="8">
        <f t="shared" si="3"/>
        <v>-59733610.089434952</v>
      </c>
    </row>
    <row r="37" spans="1:19" ht="15" x14ac:dyDescent="0.25">
      <c r="A37" s="2" t="s">
        <v>35</v>
      </c>
      <c r="B37" s="7">
        <v>399880981.30238885</v>
      </c>
      <c r="C37" s="7">
        <v>334800889.49034297</v>
      </c>
      <c r="D37" s="8">
        <f t="shared" si="0"/>
        <v>-65080091.812045872</v>
      </c>
      <c r="F37" s="2" t="s">
        <v>35</v>
      </c>
      <c r="G37" s="7">
        <v>379045428.46206039</v>
      </c>
      <c r="H37" s="7">
        <v>320701657.17942506</v>
      </c>
      <c r="I37" s="8">
        <f t="shared" si="1"/>
        <v>-58343771.282635331</v>
      </c>
      <c r="K37" s="2" t="s">
        <v>35</v>
      </c>
      <c r="L37" s="7">
        <v>423237193.54620236</v>
      </c>
      <c r="M37" s="7">
        <v>352147114.00069535</v>
      </c>
      <c r="N37" s="8">
        <f t="shared" si="2"/>
        <v>-71090079.545507014</v>
      </c>
      <c r="P37" s="2" t="s">
        <v>35</v>
      </c>
      <c r="Q37" s="7">
        <v>482738628.99967623</v>
      </c>
      <c r="R37" s="7">
        <v>343977998.86121786</v>
      </c>
      <c r="S37" s="8">
        <f t="shared" si="3"/>
        <v>-138760630.13845837</v>
      </c>
    </row>
    <row r="38" spans="1:19" ht="15" x14ac:dyDescent="0.25">
      <c r="A38" s="2" t="s">
        <v>36</v>
      </c>
      <c r="B38" s="7">
        <v>33023017.766601373</v>
      </c>
      <c r="C38" s="7">
        <v>55137721.947770141</v>
      </c>
      <c r="D38" s="8">
        <f t="shared" si="0"/>
        <v>22114704.181168769</v>
      </c>
      <c r="F38" s="2" t="s">
        <v>36</v>
      </c>
      <c r="G38" s="7">
        <v>36421662.564680099</v>
      </c>
      <c r="H38" s="7">
        <v>51597758.47990901</v>
      </c>
      <c r="I38" s="8">
        <f t="shared" si="1"/>
        <v>15176095.915228911</v>
      </c>
      <c r="K38" s="2" t="s">
        <v>36</v>
      </c>
      <c r="L38" s="7">
        <v>36720988.577452458</v>
      </c>
      <c r="M38" s="7">
        <v>50282729.45335903</v>
      </c>
      <c r="N38" s="8">
        <f t="shared" si="2"/>
        <v>13561740.875906572</v>
      </c>
      <c r="P38" s="2" t="s">
        <v>36</v>
      </c>
      <c r="Q38" s="7">
        <v>37977763.203367852</v>
      </c>
      <c r="R38" s="7">
        <v>53868451.303448386</v>
      </c>
      <c r="S38" s="8">
        <f t="shared" si="3"/>
        <v>15890688.100080535</v>
      </c>
    </row>
    <row r="39" spans="1:19" ht="15" x14ac:dyDescent="0.25">
      <c r="A39" s="2" t="s">
        <v>37</v>
      </c>
      <c r="B39" s="7">
        <v>117888519.45036092</v>
      </c>
      <c r="C39" s="7">
        <v>256340940.27625585</v>
      </c>
      <c r="D39" s="8">
        <f t="shared" si="0"/>
        <v>138452420.82589492</v>
      </c>
      <c r="F39" s="2" t="s">
        <v>37</v>
      </c>
      <c r="G39" s="7">
        <v>119177664.3649714</v>
      </c>
      <c r="H39" s="7">
        <v>246926187.55640849</v>
      </c>
      <c r="I39" s="8">
        <f t="shared" si="1"/>
        <v>127748523.1914371</v>
      </c>
      <c r="K39" s="2" t="s">
        <v>37</v>
      </c>
      <c r="L39" s="7">
        <v>136084590.41916433</v>
      </c>
      <c r="M39" s="7">
        <v>266113874.66327608</v>
      </c>
      <c r="N39" s="8">
        <f t="shared" si="2"/>
        <v>130029284.24411175</v>
      </c>
      <c r="P39" s="2" t="s">
        <v>37</v>
      </c>
      <c r="Q39" s="7">
        <v>177119542.40401098</v>
      </c>
      <c r="R39" s="7">
        <v>283391978.78551698</v>
      </c>
      <c r="S39" s="8">
        <f t="shared" si="3"/>
        <v>106272436.381506</v>
      </c>
    </row>
    <row r="40" spans="1:19" ht="15" x14ac:dyDescent="0.25">
      <c r="A40" s="2" t="s">
        <v>38</v>
      </c>
      <c r="B40" s="7">
        <v>52695210.267845355</v>
      </c>
      <c r="C40" s="7">
        <v>66982696.811188132</v>
      </c>
      <c r="D40" s="8">
        <f t="shared" si="0"/>
        <v>14287486.543342777</v>
      </c>
      <c r="F40" s="2" t="s">
        <v>38</v>
      </c>
      <c r="G40" s="7">
        <v>46309264.057800844</v>
      </c>
      <c r="H40" s="7">
        <v>59319171.949240491</v>
      </c>
      <c r="I40" s="8">
        <f t="shared" si="1"/>
        <v>13009907.891439646</v>
      </c>
      <c r="K40" s="2" t="s">
        <v>38</v>
      </c>
      <c r="L40" s="7">
        <v>36163868.717497893</v>
      </c>
      <c r="M40" s="7">
        <v>50343646.552033186</v>
      </c>
      <c r="N40" s="8">
        <f t="shared" si="2"/>
        <v>14179777.834535293</v>
      </c>
      <c r="P40" s="2" t="s">
        <v>38</v>
      </c>
      <c r="Q40" s="7">
        <v>51610690.781479873</v>
      </c>
      <c r="R40" s="7">
        <v>48794288.319036976</v>
      </c>
      <c r="S40" s="8">
        <f t="shared" si="3"/>
        <v>-2816402.4624428973</v>
      </c>
    </row>
    <row r="41" spans="1:19" ht="15" x14ac:dyDescent="0.25">
      <c r="A41" s="2" t="s">
        <v>39</v>
      </c>
      <c r="B41" s="7">
        <v>1331331.151322376</v>
      </c>
      <c r="C41" s="7">
        <v>2303501.750215366</v>
      </c>
      <c r="D41" s="8">
        <f t="shared" si="0"/>
        <v>972170.59889299003</v>
      </c>
      <c r="F41" s="2" t="s">
        <v>39</v>
      </c>
      <c r="G41" s="7">
        <v>1139068.661310144</v>
      </c>
      <c r="H41" s="7">
        <v>1949379.4873180313</v>
      </c>
      <c r="I41" s="8">
        <f t="shared" si="1"/>
        <v>810310.82600788726</v>
      </c>
      <c r="K41" s="2" t="s">
        <v>39</v>
      </c>
      <c r="L41" s="7">
        <v>1073301.0990837808</v>
      </c>
      <c r="M41" s="7">
        <v>1846973.2477951748</v>
      </c>
      <c r="N41" s="8">
        <f t="shared" si="2"/>
        <v>773672.14871139405</v>
      </c>
      <c r="P41" s="2" t="s">
        <v>39</v>
      </c>
      <c r="Q41" s="7">
        <v>1066085.6142695078</v>
      </c>
      <c r="R41" s="7">
        <v>1946114.8570674397</v>
      </c>
      <c r="S41" s="8">
        <f t="shared" si="3"/>
        <v>880029.24279793189</v>
      </c>
    </row>
    <row r="42" spans="1:19" ht="15" x14ac:dyDescent="0.25">
      <c r="A42" s="2" t="s">
        <v>40</v>
      </c>
      <c r="B42" s="7">
        <v>54289900.269937746</v>
      </c>
      <c r="C42" s="7">
        <v>67331439.121823847</v>
      </c>
      <c r="D42" s="8">
        <f t="shared" si="0"/>
        <v>13041538.851886101</v>
      </c>
      <c r="F42" s="2" t="s">
        <v>40</v>
      </c>
      <c r="G42" s="7">
        <v>54065829.464058265</v>
      </c>
      <c r="H42" s="7">
        <v>68728374.653304264</v>
      </c>
      <c r="I42" s="8">
        <f t="shared" si="1"/>
        <v>14662545.189245999</v>
      </c>
      <c r="K42" s="2" t="s">
        <v>40</v>
      </c>
      <c r="L42" s="7">
        <v>51422198.42961321</v>
      </c>
      <c r="M42" s="7">
        <v>62522553.170414194</v>
      </c>
      <c r="N42" s="8">
        <f t="shared" si="2"/>
        <v>11100354.740800984</v>
      </c>
      <c r="P42" s="2" t="s">
        <v>40</v>
      </c>
      <c r="Q42" s="7">
        <v>55831538.232639372</v>
      </c>
      <c r="R42" s="7">
        <v>67380814.565997049</v>
      </c>
      <c r="S42" s="8">
        <f t="shared" si="3"/>
        <v>11549276.333357677</v>
      </c>
    </row>
    <row r="43" spans="1:19" ht="15" x14ac:dyDescent="0.25">
      <c r="A43" s="2" t="s">
        <v>41</v>
      </c>
      <c r="B43" s="7">
        <v>1092531.7314014165</v>
      </c>
      <c r="C43" s="7">
        <v>2726409.9866384789</v>
      </c>
      <c r="D43" s="8">
        <f t="shared" si="0"/>
        <v>1633878.2552370625</v>
      </c>
      <c r="F43" s="2" t="s">
        <v>41</v>
      </c>
      <c r="G43" s="7">
        <v>1326093.0857067099</v>
      </c>
      <c r="H43" s="7">
        <v>3444101.5236263643</v>
      </c>
      <c r="I43" s="8">
        <f t="shared" si="1"/>
        <v>2118008.4379196544</v>
      </c>
      <c r="K43" s="2" t="s">
        <v>41</v>
      </c>
      <c r="L43" s="7">
        <v>1222594.4861111005</v>
      </c>
      <c r="M43" s="7">
        <v>3278659.4004857517</v>
      </c>
      <c r="N43" s="8">
        <f t="shared" si="2"/>
        <v>2056064.9143746512</v>
      </c>
      <c r="P43" s="2" t="s">
        <v>41</v>
      </c>
      <c r="Q43" s="7">
        <v>1257655.2950864378</v>
      </c>
      <c r="R43" s="7">
        <v>2943875.1076250002</v>
      </c>
      <c r="S43" s="8">
        <f t="shared" si="3"/>
        <v>1686219.8125385623</v>
      </c>
    </row>
    <row r="44" spans="1:19" ht="15" x14ac:dyDescent="0.25">
      <c r="A44" s="2" t="s">
        <v>42</v>
      </c>
      <c r="B44" s="7">
        <v>94001289.978668928</v>
      </c>
      <c r="C44" s="7">
        <v>103782861.17831296</v>
      </c>
      <c r="D44" s="8">
        <f t="shared" si="0"/>
        <v>9781571.1996440291</v>
      </c>
      <c r="F44" s="2" t="s">
        <v>42</v>
      </c>
      <c r="G44" s="7">
        <v>104173534.87398493</v>
      </c>
      <c r="H44" s="7">
        <v>107902680.26039222</v>
      </c>
      <c r="I44" s="8">
        <f t="shared" si="1"/>
        <v>3729145.3864072859</v>
      </c>
      <c r="K44" s="2" t="s">
        <v>42</v>
      </c>
      <c r="L44" s="7">
        <v>110039652.08449414</v>
      </c>
      <c r="M44" s="7">
        <v>113550064.73437022</v>
      </c>
      <c r="N44" s="8">
        <f t="shared" si="2"/>
        <v>3510412.649876073</v>
      </c>
      <c r="P44" s="2" t="s">
        <v>42</v>
      </c>
      <c r="Q44" s="7">
        <v>119898516.85883181</v>
      </c>
      <c r="R44" s="7">
        <v>116971717.17112757</v>
      </c>
      <c r="S44" s="8">
        <f t="shared" si="3"/>
        <v>-2926799.6877042353</v>
      </c>
    </row>
    <row r="45" spans="1:19" ht="15" x14ac:dyDescent="0.25">
      <c r="A45" s="2" t="s">
        <v>43</v>
      </c>
      <c r="B45" s="7">
        <v>13201066.607136322</v>
      </c>
      <c r="C45" s="7">
        <v>29586943.926265333</v>
      </c>
      <c r="D45" s="8">
        <f t="shared" si="0"/>
        <v>16385877.319129011</v>
      </c>
      <c r="F45" s="2" t="s">
        <v>43</v>
      </c>
      <c r="G45" s="7">
        <v>12338588.233826075</v>
      </c>
      <c r="H45" s="7">
        <v>24688278.830395106</v>
      </c>
      <c r="I45" s="8">
        <f t="shared" si="1"/>
        <v>12349690.596569031</v>
      </c>
      <c r="K45" s="2" t="s">
        <v>43</v>
      </c>
      <c r="L45" s="7">
        <v>12730273.271091234</v>
      </c>
      <c r="M45" s="7">
        <v>26748732.454954501</v>
      </c>
      <c r="N45" s="8">
        <f t="shared" si="2"/>
        <v>14018459.183863267</v>
      </c>
      <c r="P45" s="2" t="s">
        <v>43</v>
      </c>
      <c r="Q45" s="7">
        <v>16288995.649749804</v>
      </c>
      <c r="R45" s="7">
        <v>32186645.060361512</v>
      </c>
      <c r="S45" s="8">
        <f t="shared" si="3"/>
        <v>15897649.410611708</v>
      </c>
    </row>
    <row r="46" spans="1:19" ht="15" x14ac:dyDescent="0.25">
      <c r="A46" s="4" t="s">
        <v>44</v>
      </c>
      <c r="B46" s="7">
        <v>326440698.05655932</v>
      </c>
      <c r="C46" s="7">
        <v>360406396.3758291</v>
      </c>
      <c r="D46" s="8">
        <f t="shared" si="0"/>
        <v>33965698.319269776</v>
      </c>
      <c r="F46" s="4" t="s">
        <v>44</v>
      </c>
      <c r="G46" s="7">
        <v>388599506.69078928</v>
      </c>
      <c r="H46" s="7">
        <v>398916917.81822562</v>
      </c>
      <c r="I46" s="8">
        <f t="shared" si="1"/>
        <v>10317411.12743634</v>
      </c>
      <c r="K46" s="4" t="s">
        <v>44</v>
      </c>
      <c r="L46" s="7">
        <v>434315772.06841016</v>
      </c>
      <c r="M46" s="7">
        <v>421295692.08673263</v>
      </c>
      <c r="N46" s="8">
        <f t="shared" si="2"/>
        <v>-13020079.981677532</v>
      </c>
      <c r="P46" s="4" t="s">
        <v>44</v>
      </c>
      <c r="Q46" s="7">
        <v>465925689.21738267</v>
      </c>
      <c r="R46" s="7">
        <v>426746782.00225592</v>
      </c>
      <c r="S46" s="8">
        <f t="shared" si="3"/>
        <v>-39178907.215126753</v>
      </c>
    </row>
    <row r="47" spans="1:19" ht="15" x14ac:dyDescent="0.25">
      <c r="A47" s="4" t="s">
        <v>45</v>
      </c>
      <c r="B47" s="7">
        <v>179980074.82498366</v>
      </c>
      <c r="C47" s="7">
        <v>202823759.70843211</v>
      </c>
      <c r="D47" s="8">
        <f t="shared" si="0"/>
        <v>22843684.883448452</v>
      </c>
      <c r="F47" s="4" t="s">
        <v>45</v>
      </c>
      <c r="G47" s="7">
        <v>191908059.00640798</v>
      </c>
      <c r="H47" s="7">
        <v>219523235.73665062</v>
      </c>
      <c r="I47" s="8">
        <f t="shared" si="1"/>
        <v>27615176.73024264</v>
      </c>
      <c r="K47" s="4" t="s">
        <v>45</v>
      </c>
      <c r="L47" s="7">
        <v>197776853.43725246</v>
      </c>
      <c r="M47" s="7">
        <v>234366722.26532742</v>
      </c>
      <c r="N47" s="8">
        <f t="shared" si="2"/>
        <v>36589868.828074962</v>
      </c>
      <c r="P47" s="4" t="s">
        <v>45</v>
      </c>
      <c r="Q47" s="7">
        <v>191149075.65958968</v>
      </c>
      <c r="R47" s="7">
        <v>233744486.48220193</v>
      </c>
      <c r="S47" s="8">
        <f t="shared" si="3"/>
        <v>42595410.822612256</v>
      </c>
    </row>
    <row r="48" spans="1:19" ht="15" x14ac:dyDescent="0.25">
      <c r="A48" s="4" t="s">
        <v>46</v>
      </c>
      <c r="B48" s="7">
        <v>95488196.073736891</v>
      </c>
      <c r="C48" s="7">
        <v>102892019.88325576</v>
      </c>
      <c r="D48" s="8">
        <f t="shared" si="0"/>
        <v>7403823.8095188737</v>
      </c>
      <c r="F48" s="4" t="s">
        <v>46</v>
      </c>
      <c r="G48" s="7">
        <v>89930529.507862344</v>
      </c>
      <c r="H48" s="7">
        <v>101979286.7982135</v>
      </c>
      <c r="I48" s="8">
        <f t="shared" si="1"/>
        <v>12048757.290351152</v>
      </c>
      <c r="K48" s="4" t="s">
        <v>46</v>
      </c>
      <c r="L48" s="7">
        <v>102370512.57983631</v>
      </c>
      <c r="M48" s="7">
        <v>106563925.24152619</v>
      </c>
      <c r="N48" s="8">
        <f t="shared" si="2"/>
        <v>4193412.6616898775</v>
      </c>
      <c r="P48" s="4" t="s">
        <v>46</v>
      </c>
      <c r="Q48" s="7">
        <v>94327203.021859258</v>
      </c>
      <c r="R48" s="7">
        <v>111253256.67162555</v>
      </c>
      <c r="S48" s="8">
        <f t="shared" si="3"/>
        <v>16926053.649766296</v>
      </c>
    </row>
    <row r="49" spans="1:19" ht="15" x14ac:dyDescent="0.25">
      <c r="A49" s="4" t="s">
        <v>47</v>
      </c>
      <c r="B49" s="7">
        <v>370272358.84282863</v>
      </c>
      <c r="C49" s="7">
        <v>368704273.01460522</v>
      </c>
      <c r="D49" s="8">
        <f t="shared" si="0"/>
        <v>-1568085.8282234073</v>
      </c>
      <c r="F49" s="4" t="s">
        <v>47</v>
      </c>
      <c r="G49" s="7">
        <v>365708056.58621883</v>
      </c>
      <c r="H49" s="7">
        <v>366363851.24831754</v>
      </c>
      <c r="I49" s="8">
        <f t="shared" si="1"/>
        <v>655794.66209870577</v>
      </c>
      <c r="K49" s="4" t="s">
        <v>47</v>
      </c>
      <c r="L49" s="7">
        <v>364513018.6133666</v>
      </c>
      <c r="M49" s="7">
        <v>365313267.25753152</v>
      </c>
      <c r="N49" s="8">
        <f t="shared" si="2"/>
        <v>800248.64416491985</v>
      </c>
      <c r="P49" s="4" t="s">
        <v>47</v>
      </c>
      <c r="Q49" s="7">
        <v>386337910.33723378</v>
      </c>
      <c r="R49" s="7">
        <v>365609203.11575043</v>
      </c>
      <c r="S49" s="8">
        <f t="shared" si="3"/>
        <v>-20728707.22148335</v>
      </c>
    </row>
    <row r="50" spans="1:19" ht="15" x14ac:dyDescent="0.25">
      <c r="A50" s="4" t="s">
        <v>48</v>
      </c>
      <c r="B50" s="7">
        <v>45405240.886454731</v>
      </c>
      <c r="C50" s="7">
        <v>66854865.651468411</v>
      </c>
      <c r="D50" s="8">
        <f t="shared" si="0"/>
        <v>21449624.76501368</v>
      </c>
      <c r="F50" s="4" t="s">
        <v>48</v>
      </c>
      <c r="G50" s="7">
        <v>44406253.216290124</v>
      </c>
      <c r="H50" s="7">
        <v>72561450.641856119</v>
      </c>
      <c r="I50" s="8">
        <f t="shared" si="1"/>
        <v>28155197.425565995</v>
      </c>
      <c r="K50" s="4" t="s">
        <v>48</v>
      </c>
      <c r="L50" s="7">
        <v>52073847.952467501</v>
      </c>
      <c r="M50" s="7">
        <v>76783168.793950602</v>
      </c>
      <c r="N50" s="8">
        <f t="shared" si="2"/>
        <v>24709320.841483101</v>
      </c>
      <c r="P50" s="4" t="s">
        <v>48</v>
      </c>
      <c r="Q50" s="7">
        <v>43288438.069461122</v>
      </c>
      <c r="R50" s="7">
        <v>76991357.493829578</v>
      </c>
      <c r="S50" s="8">
        <f t="shared" si="3"/>
        <v>33702919.424368456</v>
      </c>
    </row>
  </sheetData>
  <mergeCells count="4">
    <mergeCell ref="A1:D1"/>
    <mergeCell ref="F1:I1"/>
    <mergeCell ref="K1:N1"/>
    <mergeCell ref="P1:S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985E-4B27-4ADB-B408-CEF8AD9D4C71}">
  <dimension ref="A1:BB60"/>
  <sheetViews>
    <sheetView workbookViewId="0">
      <selection sqref="A1:O1"/>
    </sheetView>
  </sheetViews>
  <sheetFormatPr defaultRowHeight="14.25" x14ac:dyDescent="0.2"/>
  <sheetData>
    <row r="1" spans="1:15" ht="15" x14ac:dyDescent="0.2">
      <c r="A1" s="18">
        <v>2011</v>
      </c>
      <c r="B1" s="19"/>
      <c r="C1" s="20"/>
      <c r="E1" s="18">
        <v>2015</v>
      </c>
      <c r="F1" s="19"/>
      <c r="G1" s="20"/>
      <c r="I1" s="18">
        <v>2019</v>
      </c>
      <c r="J1" s="19"/>
      <c r="K1" s="20"/>
      <c r="M1" s="18">
        <v>2022</v>
      </c>
      <c r="N1" s="19"/>
      <c r="O1" s="20"/>
    </row>
    <row r="2" spans="1:15" ht="15" x14ac:dyDescent="0.2">
      <c r="A2" s="5" t="s">
        <v>50</v>
      </c>
      <c r="B2" s="5" t="s">
        <v>51</v>
      </c>
      <c r="C2" s="6" t="s">
        <v>53</v>
      </c>
      <c r="E2" s="5" t="s">
        <v>50</v>
      </c>
      <c r="F2" s="5" t="s">
        <v>51</v>
      </c>
      <c r="G2" s="6" t="s">
        <v>53</v>
      </c>
      <c r="I2" s="5" t="s">
        <v>50</v>
      </c>
      <c r="J2" s="5" t="s">
        <v>51</v>
      </c>
      <c r="K2" s="6" t="s">
        <v>53</v>
      </c>
      <c r="M2" s="5" t="s">
        <v>50</v>
      </c>
      <c r="N2" s="5" t="s">
        <v>51</v>
      </c>
      <c r="O2" s="6" t="s">
        <v>53</v>
      </c>
    </row>
    <row r="3" spans="1:15" ht="15" x14ac:dyDescent="0.25">
      <c r="A3" s="2" t="s">
        <v>1</v>
      </c>
      <c r="B3" s="7">
        <v>5441407.5622233106</v>
      </c>
      <c r="C3" s="8">
        <v>8473278.3969999999</v>
      </c>
      <c r="E3" s="2" t="s">
        <v>1</v>
      </c>
      <c r="F3" s="7">
        <v>4446262.9921054011</v>
      </c>
      <c r="G3" s="8">
        <v>8903512.5963715184</v>
      </c>
      <c r="I3" s="2" t="s">
        <v>1</v>
      </c>
      <c r="J3" s="7">
        <v>4478140.8234913368</v>
      </c>
      <c r="K3" s="8">
        <v>7757506.6916660983</v>
      </c>
      <c r="M3" s="2" t="s">
        <v>1</v>
      </c>
      <c r="N3" s="7">
        <v>4739237.525822117</v>
      </c>
      <c r="O3" s="8">
        <v>8526409.7304107714</v>
      </c>
    </row>
    <row r="4" spans="1:15" ht="15" x14ac:dyDescent="0.25">
      <c r="A4" s="2" t="s">
        <v>2</v>
      </c>
      <c r="B4" s="7">
        <v>3670128.0126361875</v>
      </c>
      <c r="C4" s="8">
        <v>13584949.34</v>
      </c>
      <c r="E4" s="2" t="s">
        <v>2</v>
      </c>
      <c r="F4" s="7">
        <v>3596759.5171464006</v>
      </c>
      <c r="G4" s="8">
        <v>13423767.331175404</v>
      </c>
      <c r="I4" s="2" t="s">
        <v>2</v>
      </c>
      <c r="J4" s="7">
        <v>3392841.8253719141</v>
      </c>
      <c r="K4" s="8">
        <v>12999158.252492798</v>
      </c>
      <c r="M4" s="2" t="s">
        <v>2</v>
      </c>
      <c r="N4" s="7">
        <v>3183272.7164548784</v>
      </c>
      <c r="O4" s="8">
        <v>14869991.45468322</v>
      </c>
    </row>
    <row r="5" spans="1:15" ht="15" x14ac:dyDescent="0.25">
      <c r="A5" s="2" t="s">
        <v>3</v>
      </c>
      <c r="B5" s="7">
        <v>9470964.5103084687</v>
      </c>
      <c r="C5" s="8">
        <v>5224572.1169999996</v>
      </c>
      <c r="E5" s="2" t="s">
        <v>3</v>
      </c>
      <c r="F5" s="7">
        <v>9819842.5414389968</v>
      </c>
      <c r="G5" s="8">
        <v>3663126.255019913</v>
      </c>
      <c r="I5" s="2" t="s">
        <v>3</v>
      </c>
      <c r="J5" s="7">
        <v>10955455.069252355</v>
      </c>
      <c r="K5" s="8">
        <v>3979926.4836203805</v>
      </c>
      <c r="M5" s="2" t="s">
        <v>3</v>
      </c>
      <c r="N5" s="7">
        <v>10367769.910789272</v>
      </c>
      <c r="O5" s="8">
        <v>3614231.1884023896</v>
      </c>
    </row>
    <row r="6" spans="1:15" ht="15" x14ac:dyDescent="0.25">
      <c r="A6" s="2" t="s">
        <v>4</v>
      </c>
      <c r="B6" s="7">
        <v>196320.63662345827</v>
      </c>
      <c r="C6" s="8">
        <v>645711.81110000005</v>
      </c>
      <c r="E6" s="2" t="s">
        <v>4</v>
      </c>
      <c r="F6" s="7">
        <v>197874.22859399</v>
      </c>
      <c r="G6" s="8">
        <v>659148.05054620712</v>
      </c>
      <c r="I6" s="2" t="s">
        <v>4</v>
      </c>
      <c r="J6" s="7">
        <v>145303.01966434528</v>
      </c>
      <c r="K6" s="8">
        <v>833294.07637040725</v>
      </c>
      <c r="M6" s="2" t="s">
        <v>4</v>
      </c>
      <c r="N6" s="7">
        <v>143354.9965346035</v>
      </c>
      <c r="O6" s="8">
        <v>322331.10026122082</v>
      </c>
    </row>
    <row r="7" spans="1:15" ht="15" x14ac:dyDescent="0.25">
      <c r="A7" s="2" t="s">
        <v>5</v>
      </c>
      <c r="B7" s="7">
        <v>9597434.038632378</v>
      </c>
      <c r="C7" s="8">
        <v>11312930.310000001</v>
      </c>
      <c r="E7" s="2" t="s">
        <v>5</v>
      </c>
      <c r="F7" s="7">
        <v>9322695.9878744334</v>
      </c>
      <c r="G7" s="8">
        <v>10073522.141441468</v>
      </c>
      <c r="I7" s="2" t="s">
        <v>5</v>
      </c>
      <c r="J7" s="7">
        <v>8110830.6843837555</v>
      </c>
      <c r="K7" s="8">
        <v>11068440.761215841</v>
      </c>
      <c r="M7" s="2" t="s">
        <v>5</v>
      </c>
      <c r="N7" s="7">
        <v>9019880.8247242998</v>
      </c>
      <c r="O7" s="8">
        <v>12972628.650164641</v>
      </c>
    </row>
    <row r="8" spans="1:15" ht="15" x14ac:dyDescent="0.25">
      <c r="A8" s="2" t="s">
        <v>6</v>
      </c>
      <c r="B8" s="7">
        <v>46956791.88378679</v>
      </c>
      <c r="C8" s="8">
        <v>94344210.420000002</v>
      </c>
      <c r="E8" s="2" t="s">
        <v>6</v>
      </c>
      <c r="F8" s="7">
        <v>51366846.667144313</v>
      </c>
      <c r="G8" s="8">
        <v>96054670.430883512</v>
      </c>
      <c r="I8" s="2" t="s">
        <v>6</v>
      </c>
      <c r="J8" s="7">
        <v>43092956.58166521</v>
      </c>
      <c r="K8" s="8">
        <v>97853386.744543985</v>
      </c>
      <c r="M8" s="2" t="s">
        <v>6</v>
      </c>
      <c r="N8" s="7">
        <v>43784591.319343276</v>
      </c>
      <c r="O8" s="8">
        <v>99784623.494405419</v>
      </c>
    </row>
    <row r="9" spans="1:15" ht="15" x14ac:dyDescent="0.25">
      <c r="A9" s="2" t="s">
        <v>7</v>
      </c>
      <c r="B9" s="7">
        <v>9460684.492475694</v>
      </c>
      <c r="C9" s="8">
        <v>7349459.8930000002</v>
      </c>
      <c r="E9" s="2" t="s">
        <v>7</v>
      </c>
      <c r="F9" s="7">
        <v>10244834.640484663</v>
      </c>
      <c r="G9" s="8">
        <v>8430301.040179003</v>
      </c>
      <c r="I9" s="2" t="s">
        <v>7</v>
      </c>
      <c r="J9" s="7">
        <v>9296763.5565105863</v>
      </c>
      <c r="K9" s="8">
        <v>8760786.5475067887</v>
      </c>
      <c r="M9" s="2" t="s">
        <v>7</v>
      </c>
      <c r="N9" s="7">
        <v>9280299.8418669533</v>
      </c>
      <c r="O9" s="8">
        <v>6274578.7034355588</v>
      </c>
    </row>
    <row r="10" spans="1:15" ht="15" x14ac:dyDescent="0.25">
      <c r="A10" s="2" t="s">
        <v>8</v>
      </c>
      <c r="B10" s="7">
        <v>990312.08270543534</v>
      </c>
      <c r="C10" s="8">
        <v>1114926.355</v>
      </c>
      <c r="E10" s="2" t="s">
        <v>8</v>
      </c>
      <c r="F10" s="7">
        <v>1794242.9723934545</v>
      </c>
      <c r="G10" s="8">
        <v>1964723.9261098136</v>
      </c>
      <c r="I10" s="2" t="s">
        <v>8</v>
      </c>
      <c r="J10" s="7">
        <v>1757992.4262567209</v>
      </c>
      <c r="K10" s="8">
        <v>1929861.7795694177</v>
      </c>
      <c r="M10" s="2" t="s">
        <v>8</v>
      </c>
      <c r="N10" s="7">
        <v>1729439.1274012292</v>
      </c>
      <c r="O10" s="8">
        <v>1826608.8586923957</v>
      </c>
    </row>
    <row r="11" spans="1:15" ht="15" x14ac:dyDescent="0.25">
      <c r="A11" s="2" t="s">
        <v>9</v>
      </c>
      <c r="B11" s="7">
        <v>39851471.491784662</v>
      </c>
      <c r="C11" s="8">
        <v>56813609.119999997</v>
      </c>
      <c r="E11" s="2" t="s">
        <v>9</v>
      </c>
      <c r="F11" s="7">
        <v>35051234.386794254</v>
      </c>
      <c r="G11" s="8">
        <v>47601501.803424142</v>
      </c>
      <c r="I11" s="2" t="s">
        <v>9</v>
      </c>
      <c r="J11" s="7">
        <v>34377722.82523983</v>
      </c>
      <c r="K11" s="8">
        <v>42545085.182484992</v>
      </c>
      <c r="M11" s="2" t="s">
        <v>9</v>
      </c>
      <c r="N11" s="7">
        <v>35092631.214616872</v>
      </c>
      <c r="O11" s="8">
        <v>37872104.974571794</v>
      </c>
    </row>
    <row r="12" spans="1:15" ht="15" x14ac:dyDescent="0.25">
      <c r="A12" s="2" t="s">
        <v>10</v>
      </c>
      <c r="B12" s="7">
        <v>4016167.0770529928</v>
      </c>
      <c r="C12" s="8">
        <v>6865380.915</v>
      </c>
      <c r="E12" s="2" t="s">
        <v>10</v>
      </c>
      <c r="F12" s="7">
        <v>3678456.7499057287</v>
      </c>
      <c r="G12" s="8">
        <v>6816331.0995538272</v>
      </c>
      <c r="I12" s="2" t="s">
        <v>10</v>
      </c>
      <c r="J12" s="7">
        <v>3848522.3411294268</v>
      </c>
      <c r="K12" s="8">
        <v>5847904.5538346004</v>
      </c>
      <c r="M12" s="2" t="s">
        <v>10</v>
      </c>
      <c r="N12" s="7">
        <v>3455973.0334484968</v>
      </c>
      <c r="O12" s="8">
        <v>5688196.4912610743</v>
      </c>
    </row>
    <row r="13" spans="1:15" ht="15" x14ac:dyDescent="0.25">
      <c r="A13" s="2" t="s">
        <v>11</v>
      </c>
      <c r="B13" s="7">
        <v>71906572.440687597</v>
      </c>
      <c r="C13" s="8">
        <v>69962835.060000002</v>
      </c>
      <c r="E13" s="2" t="s">
        <v>11</v>
      </c>
      <c r="F13" s="7">
        <v>74799771.350300759</v>
      </c>
      <c r="G13" s="8">
        <v>68345727.911927417</v>
      </c>
      <c r="I13" s="2" t="s">
        <v>11</v>
      </c>
      <c r="J13" s="7">
        <v>67803389.937231287</v>
      </c>
      <c r="K13" s="8">
        <v>63506789.099159293</v>
      </c>
      <c r="M13" s="2" t="s">
        <v>11</v>
      </c>
      <c r="N13" s="7">
        <v>61596494.820326328</v>
      </c>
      <c r="O13" s="8">
        <v>64092566.449631616</v>
      </c>
    </row>
    <row r="14" spans="1:15" ht="15" x14ac:dyDescent="0.25">
      <c r="A14" s="2" t="s">
        <v>12</v>
      </c>
      <c r="B14" s="7">
        <v>10086514.534011006</v>
      </c>
      <c r="C14" s="8">
        <v>13054706.380000001</v>
      </c>
      <c r="E14" s="2" t="s">
        <v>12</v>
      </c>
      <c r="F14" s="7">
        <v>10452106.564791515</v>
      </c>
      <c r="G14" s="8">
        <v>9767195.3689872231</v>
      </c>
      <c r="I14" s="2" t="s">
        <v>12</v>
      </c>
      <c r="J14" s="7">
        <v>9988210.9132980369</v>
      </c>
      <c r="K14" s="8">
        <v>10168196.67039782</v>
      </c>
      <c r="M14" s="2" t="s">
        <v>12</v>
      </c>
      <c r="N14" s="7">
        <v>6482709.6639090506</v>
      </c>
      <c r="O14" s="8">
        <v>8066545.6199443825</v>
      </c>
    </row>
    <row r="15" spans="1:15" ht="15" x14ac:dyDescent="0.25">
      <c r="A15" s="2" t="s">
        <v>13</v>
      </c>
      <c r="B15" s="7">
        <v>2812807.8859781898</v>
      </c>
      <c r="C15" s="8">
        <v>3516452.3229999999</v>
      </c>
      <c r="E15" s="2" t="s">
        <v>13</v>
      </c>
      <c r="F15" s="7">
        <v>2670501.2919931933</v>
      </c>
      <c r="G15" s="8">
        <v>2937813.5456390032</v>
      </c>
      <c r="I15" s="2" t="s">
        <v>13</v>
      </c>
      <c r="J15" s="7">
        <v>3218072.7065748647</v>
      </c>
      <c r="K15" s="8">
        <v>3318340.0102810957</v>
      </c>
      <c r="M15" s="2" t="s">
        <v>13</v>
      </c>
      <c r="N15" s="7">
        <v>2779403.7318490883</v>
      </c>
      <c r="O15" s="8">
        <v>2402108.4213991347</v>
      </c>
    </row>
    <row r="16" spans="1:15" ht="15" x14ac:dyDescent="0.25">
      <c r="A16" s="2" t="s">
        <v>14</v>
      </c>
      <c r="B16" s="7">
        <v>13088479.73543065</v>
      </c>
      <c r="C16" s="8">
        <v>7322190.9270000001</v>
      </c>
      <c r="E16" s="2" t="s">
        <v>14</v>
      </c>
      <c r="F16" s="7">
        <v>13639447.759698056</v>
      </c>
      <c r="G16" s="8">
        <v>7357266.9561774125</v>
      </c>
      <c r="I16" s="2" t="s">
        <v>14</v>
      </c>
      <c r="J16" s="7">
        <v>13655925.245992579</v>
      </c>
      <c r="K16" s="8">
        <v>6134839.4642978916</v>
      </c>
      <c r="M16" s="2" t="s">
        <v>14</v>
      </c>
      <c r="N16" s="7">
        <v>8734923.862767756</v>
      </c>
      <c r="O16" s="8">
        <v>6235579.1133673666</v>
      </c>
    </row>
    <row r="17" spans="1:15" ht="15" x14ac:dyDescent="0.25">
      <c r="A17" s="2" t="s">
        <v>15</v>
      </c>
      <c r="B17" s="7">
        <v>2580066.4185373187</v>
      </c>
      <c r="C17" s="8">
        <v>4513284.8720000004</v>
      </c>
      <c r="E17" s="2" t="s">
        <v>15</v>
      </c>
      <c r="F17" s="7">
        <v>2549709.8202592195</v>
      </c>
      <c r="G17" s="8">
        <v>5578219.1962810634</v>
      </c>
      <c r="I17" s="2" t="s">
        <v>15</v>
      </c>
      <c r="J17" s="7">
        <v>2080172.7781567373</v>
      </c>
      <c r="K17" s="8">
        <v>7277186.2846319005</v>
      </c>
      <c r="M17" s="2" t="s">
        <v>15</v>
      </c>
      <c r="N17" s="7">
        <v>2311657.2200146569</v>
      </c>
      <c r="O17" s="8">
        <v>10549190.190574534</v>
      </c>
    </row>
    <row r="18" spans="1:15" ht="15" x14ac:dyDescent="0.25">
      <c r="A18" s="2" t="s">
        <v>16</v>
      </c>
      <c r="B18" s="7">
        <v>26582231.719132658</v>
      </c>
      <c r="C18" s="8">
        <v>59654389.369999997</v>
      </c>
      <c r="E18" s="2" t="s">
        <v>16</v>
      </c>
      <c r="F18" s="7">
        <v>24346995.038003612</v>
      </c>
      <c r="G18" s="8">
        <v>51038080.364539549</v>
      </c>
      <c r="I18" s="2" t="s">
        <v>16</v>
      </c>
      <c r="J18" s="7">
        <v>21435434.465579536</v>
      </c>
      <c r="K18" s="8">
        <v>45559170.74363631</v>
      </c>
      <c r="M18" s="2" t="s">
        <v>16</v>
      </c>
      <c r="N18" s="7">
        <v>20726443.24791326</v>
      </c>
      <c r="O18" s="8">
        <v>46399138.984027103</v>
      </c>
    </row>
    <row r="19" spans="1:15" ht="15" x14ac:dyDescent="0.25">
      <c r="A19" s="2" t="s">
        <v>17</v>
      </c>
      <c r="B19" s="7">
        <v>4068928.8062402015</v>
      </c>
      <c r="C19" s="8">
        <v>3797516.4019999998</v>
      </c>
      <c r="E19" s="2" t="s">
        <v>17</v>
      </c>
      <c r="F19" s="7">
        <v>7206146.4583432898</v>
      </c>
      <c r="G19" s="8">
        <v>4124893.781729952</v>
      </c>
      <c r="I19" s="2" t="s">
        <v>17</v>
      </c>
      <c r="J19" s="7">
        <v>5779364.0163827026</v>
      </c>
      <c r="K19" s="8">
        <v>4380057.2293597814</v>
      </c>
      <c r="M19" s="2" t="s">
        <v>17</v>
      </c>
      <c r="N19" s="7">
        <v>6438045.5002644705</v>
      </c>
      <c r="O19" s="8">
        <v>4000622.7561459318</v>
      </c>
    </row>
    <row r="20" spans="1:15" ht="15" x14ac:dyDescent="0.25">
      <c r="A20" s="2" t="s">
        <v>18</v>
      </c>
      <c r="B20" s="7">
        <v>170806.35502615539</v>
      </c>
      <c r="C20" s="8">
        <v>1255078.0759999999</v>
      </c>
      <c r="E20" s="2" t="s">
        <v>18</v>
      </c>
      <c r="F20" s="7">
        <v>181180.77633841152</v>
      </c>
      <c r="G20" s="8">
        <v>1528708.1697673821</v>
      </c>
      <c r="I20" s="2" t="s">
        <v>18</v>
      </c>
      <c r="J20" s="7">
        <v>157478.36810939509</v>
      </c>
      <c r="K20" s="8">
        <v>2223522.8831960703</v>
      </c>
      <c r="M20" s="2" t="s">
        <v>18</v>
      </c>
      <c r="N20" s="7">
        <v>160647.28553605895</v>
      </c>
      <c r="O20" s="8">
        <v>2343622.7846763292</v>
      </c>
    </row>
    <row r="21" spans="1:15" ht="15" x14ac:dyDescent="0.25">
      <c r="A21" s="2" t="s">
        <v>19</v>
      </c>
      <c r="B21" s="7">
        <v>1789401.9095366583</v>
      </c>
      <c r="C21" s="8">
        <v>2132331.1540000001</v>
      </c>
      <c r="E21" s="2" t="s">
        <v>19</v>
      </c>
      <c r="F21" s="7">
        <v>3455301.4845656785</v>
      </c>
      <c r="G21" s="8">
        <v>3040869.6575293159</v>
      </c>
      <c r="I21" s="2" t="s">
        <v>19</v>
      </c>
      <c r="J21" s="7">
        <v>3360529.8912733807</v>
      </c>
      <c r="K21" s="8">
        <v>2866028.6968572261</v>
      </c>
      <c r="M21" s="2" t="s">
        <v>19</v>
      </c>
      <c r="N21" s="7">
        <v>3448443.6432092837</v>
      </c>
      <c r="O21" s="8">
        <v>2507928.1185920802</v>
      </c>
    </row>
    <row r="22" spans="1:15" ht="15" x14ac:dyDescent="0.25">
      <c r="A22" s="2" t="s">
        <v>20</v>
      </c>
      <c r="B22" s="7">
        <v>34301.353092140715</v>
      </c>
      <c r="C22" s="8">
        <v>202481.967</v>
      </c>
      <c r="E22" s="2" t="s">
        <v>20</v>
      </c>
      <c r="F22" s="7">
        <v>29056.928743072902</v>
      </c>
      <c r="G22" s="8">
        <v>195825.67069668265</v>
      </c>
      <c r="I22" s="2" t="s">
        <v>20</v>
      </c>
      <c r="J22" s="7">
        <v>7659.8379827546923</v>
      </c>
      <c r="K22" s="8">
        <v>322350.94043117005</v>
      </c>
      <c r="M22" s="2" t="s">
        <v>20</v>
      </c>
      <c r="N22" s="7">
        <v>6693.1432124087478</v>
      </c>
      <c r="O22" s="8">
        <v>272688.3535792784</v>
      </c>
    </row>
    <row r="23" spans="1:15" ht="15" x14ac:dyDescent="0.25">
      <c r="A23" s="2" t="s">
        <v>21</v>
      </c>
      <c r="B23" s="7">
        <v>3387622.320967915</v>
      </c>
      <c r="C23" s="8">
        <v>16325602.109999999</v>
      </c>
      <c r="E23" s="2" t="s">
        <v>21</v>
      </c>
      <c r="F23" s="7">
        <v>3185172.5711619677</v>
      </c>
      <c r="G23" s="8">
        <v>24056360.147712197</v>
      </c>
      <c r="I23" s="2" t="s">
        <v>21</v>
      </c>
      <c r="J23" s="7">
        <v>3029207.9407857056</v>
      </c>
      <c r="K23" s="8">
        <v>19411785.658884097</v>
      </c>
      <c r="M23" s="2" t="s">
        <v>21</v>
      </c>
      <c r="N23" s="7">
        <v>2923654.1409595227</v>
      </c>
      <c r="O23" s="8">
        <v>29085763.923802804</v>
      </c>
    </row>
    <row r="24" spans="1:15" ht="15" x14ac:dyDescent="0.25">
      <c r="A24" s="2" t="s">
        <v>22</v>
      </c>
      <c r="B24" s="7">
        <v>31032384.643158641</v>
      </c>
      <c r="C24" s="8">
        <v>35061517.590000004</v>
      </c>
      <c r="E24" s="2" t="s">
        <v>22</v>
      </c>
      <c r="F24" s="7">
        <v>31318066.215089437</v>
      </c>
      <c r="G24" s="8">
        <v>29316420.06361381</v>
      </c>
      <c r="I24" s="2" t="s">
        <v>22</v>
      </c>
      <c r="J24" s="7">
        <v>28602995.079016909</v>
      </c>
      <c r="K24" s="8">
        <v>27294964.923353091</v>
      </c>
      <c r="M24" s="2" t="s">
        <v>22</v>
      </c>
      <c r="N24" s="7">
        <v>35245464.619697146</v>
      </c>
      <c r="O24" s="8">
        <v>26929557.425107904</v>
      </c>
    </row>
    <row r="25" spans="1:15" ht="15" x14ac:dyDescent="0.25">
      <c r="A25" s="2" t="s">
        <v>23</v>
      </c>
      <c r="B25" s="7">
        <v>2098338.0076565724</v>
      </c>
      <c r="C25" s="8">
        <v>8640121.8619999997</v>
      </c>
      <c r="E25" s="2" t="s">
        <v>23</v>
      </c>
      <c r="F25" s="7">
        <v>2509865.7346164682</v>
      </c>
      <c r="G25" s="8">
        <v>7383585.4600615259</v>
      </c>
      <c r="I25" s="2" t="s">
        <v>23</v>
      </c>
      <c r="J25" s="7">
        <v>2903447.2440139977</v>
      </c>
      <c r="K25" s="8">
        <v>7797501.2382618589</v>
      </c>
      <c r="M25" s="2" t="s">
        <v>23</v>
      </c>
      <c r="N25" s="7">
        <v>2620370.2165433271</v>
      </c>
      <c r="O25" s="8">
        <v>6095089.4820752945</v>
      </c>
    </row>
    <row r="26" spans="1:15" ht="15" x14ac:dyDescent="0.25">
      <c r="A26" s="2" t="s">
        <v>24</v>
      </c>
      <c r="B26" s="7">
        <v>20428646.832542211</v>
      </c>
      <c r="C26" s="8">
        <v>25032736.100000001</v>
      </c>
      <c r="E26" s="2" t="s">
        <v>24</v>
      </c>
      <c r="F26" s="7">
        <v>18818677.266231094</v>
      </c>
      <c r="G26" s="8">
        <v>17794987.659600254</v>
      </c>
      <c r="I26" s="2" t="s">
        <v>24</v>
      </c>
      <c r="J26" s="7">
        <v>25887204.627249762</v>
      </c>
      <c r="K26" s="8">
        <v>19136542.128816999</v>
      </c>
      <c r="M26" s="2" t="s">
        <v>24</v>
      </c>
      <c r="N26" s="7">
        <v>16011122.749653673</v>
      </c>
      <c r="O26" s="8">
        <v>12825704.70159331</v>
      </c>
    </row>
    <row r="27" spans="1:15" ht="15" x14ac:dyDescent="0.25">
      <c r="A27" s="2" t="s">
        <v>25</v>
      </c>
      <c r="B27" s="7">
        <v>5360140.3410108695</v>
      </c>
      <c r="C27" s="8">
        <v>10489597.380000001</v>
      </c>
      <c r="E27" s="2" t="s">
        <v>25</v>
      </c>
      <c r="F27" s="7">
        <v>6486921.2694694186</v>
      </c>
      <c r="G27" s="8">
        <v>11501270.093995819</v>
      </c>
      <c r="I27" s="2" t="s">
        <v>25</v>
      </c>
      <c r="J27" s="7">
        <v>6141718.6673900513</v>
      </c>
      <c r="K27" s="8">
        <v>10729162.991777001</v>
      </c>
      <c r="M27" s="2" t="s">
        <v>25</v>
      </c>
      <c r="N27" s="7">
        <v>5943852.2249855464</v>
      </c>
      <c r="O27" s="8">
        <v>10534386.482442468</v>
      </c>
    </row>
    <row r="28" spans="1:15" ht="15" x14ac:dyDescent="0.25">
      <c r="A28" s="2" t="s">
        <v>26</v>
      </c>
      <c r="B28" s="7">
        <v>533516.02582038229</v>
      </c>
      <c r="C28" s="8">
        <v>1809765.622</v>
      </c>
      <c r="E28" s="2" t="s">
        <v>26</v>
      </c>
      <c r="F28" s="7">
        <v>511112.6320281917</v>
      </c>
      <c r="G28" s="8">
        <v>1415703.557591341</v>
      </c>
      <c r="I28" s="2" t="s">
        <v>26</v>
      </c>
      <c r="J28" s="7">
        <v>481412.01817262283</v>
      </c>
      <c r="K28" s="8">
        <v>1517866.1015394041</v>
      </c>
      <c r="M28" s="2" t="s">
        <v>26</v>
      </c>
      <c r="N28" s="7">
        <v>418521.64052498853</v>
      </c>
      <c r="O28" s="8">
        <v>1278417.9505025239</v>
      </c>
    </row>
    <row r="29" spans="1:15" ht="15" x14ac:dyDescent="0.25">
      <c r="A29" s="2" t="s">
        <v>27</v>
      </c>
      <c r="B29" s="7">
        <v>3868713.5646063513</v>
      </c>
      <c r="C29" s="8">
        <v>5220060.9380000001</v>
      </c>
      <c r="E29" s="2" t="s">
        <v>27</v>
      </c>
      <c r="F29" s="7">
        <v>3841283.4666414401</v>
      </c>
      <c r="G29" s="8">
        <v>4281747.4656318566</v>
      </c>
      <c r="I29" s="2" t="s">
        <v>27</v>
      </c>
      <c r="J29" s="7">
        <v>3790684.6271032328</v>
      </c>
      <c r="K29" s="8">
        <v>4806406.6909467317</v>
      </c>
      <c r="M29" s="2" t="s">
        <v>27</v>
      </c>
      <c r="N29" s="7">
        <v>3405600.6101355487</v>
      </c>
      <c r="O29" s="8">
        <v>3818261.238790554</v>
      </c>
    </row>
    <row r="30" spans="1:15" ht="15" x14ac:dyDescent="0.25">
      <c r="A30" s="2" t="s">
        <v>77</v>
      </c>
      <c r="B30" s="7">
        <v>27844287.600350257</v>
      </c>
      <c r="C30" s="8">
        <v>64100802.420000002</v>
      </c>
      <c r="E30" s="2" t="s">
        <v>77</v>
      </c>
      <c r="F30" s="7">
        <v>28396460.575557467</v>
      </c>
      <c r="G30" s="8">
        <v>66481459.610172853</v>
      </c>
      <c r="I30" s="2" t="s">
        <v>77</v>
      </c>
      <c r="J30" s="7">
        <v>26841890.120313536</v>
      </c>
      <c r="K30" s="8">
        <v>63506991.579279304</v>
      </c>
      <c r="M30" s="2" t="s">
        <v>77</v>
      </c>
      <c r="N30" s="7">
        <v>23161579.344339054</v>
      </c>
      <c r="O30" s="8">
        <v>63273293.291211367</v>
      </c>
    </row>
    <row r="31" spans="1:15" ht="15" x14ac:dyDescent="0.25">
      <c r="A31" s="2" t="s">
        <v>29</v>
      </c>
      <c r="B31" s="7">
        <v>351479024.99074221</v>
      </c>
      <c r="C31" s="8">
        <v>367728193.69999999</v>
      </c>
      <c r="E31" s="2" t="s">
        <v>29</v>
      </c>
      <c r="F31" s="7">
        <v>380490889.72877902</v>
      </c>
      <c r="G31" s="8">
        <v>383840584.06632686</v>
      </c>
      <c r="I31" s="2" t="s">
        <v>29</v>
      </c>
      <c r="J31" s="7">
        <v>349422982.77334791</v>
      </c>
      <c r="K31" s="8">
        <v>391690051.70637965</v>
      </c>
      <c r="M31" s="2" t="s">
        <v>29</v>
      </c>
      <c r="N31" s="7">
        <v>350158739.54495734</v>
      </c>
      <c r="O31" s="8">
        <v>359466977.58760202</v>
      </c>
    </row>
    <row r="32" spans="1:15" ht="15" x14ac:dyDescent="0.25">
      <c r="A32" s="2" t="s">
        <v>30</v>
      </c>
      <c r="B32" s="7">
        <v>10782182.406427765</v>
      </c>
      <c r="C32" s="8">
        <v>85727531.689999998</v>
      </c>
      <c r="E32" s="2" t="s">
        <v>30</v>
      </c>
      <c r="F32" s="7">
        <v>10761601.97745751</v>
      </c>
      <c r="G32" s="8">
        <v>80460956.788121924</v>
      </c>
      <c r="I32" s="2" t="s">
        <v>30</v>
      </c>
      <c r="J32" s="7">
        <v>10317756.163814891</v>
      </c>
      <c r="K32" s="8">
        <v>78181249.277502149</v>
      </c>
      <c r="M32" s="2" t="s">
        <v>30</v>
      </c>
      <c r="N32" s="7">
        <v>9826770.4017335307</v>
      </c>
      <c r="O32" s="8">
        <v>75452509.552109942</v>
      </c>
    </row>
    <row r="33" spans="1:15" ht="15" x14ac:dyDescent="0.25">
      <c r="A33" s="2" t="s">
        <v>31</v>
      </c>
      <c r="B33" s="7">
        <v>587965518.84914517</v>
      </c>
      <c r="C33" s="8">
        <v>762984804</v>
      </c>
      <c r="E33" s="2" t="s">
        <v>31</v>
      </c>
      <c r="F33" s="7">
        <v>618577267.74146926</v>
      </c>
      <c r="G33" s="8">
        <v>890790945.18923569</v>
      </c>
      <c r="I33" s="2" t="s">
        <v>31</v>
      </c>
      <c r="J33" s="7">
        <v>625130820.65204704</v>
      </c>
      <c r="K33" s="8">
        <v>925532342.51572704</v>
      </c>
      <c r="M33" s="2" t="s">
        <v>31</v>
      </c>
      <c r="N33" s="7">
        <v>649406469.50724936</v>
      </c>
      <c r="O33" s="8">
        <v>1034022179.4311763</v>
      </c>
    </row>
    <row r="34" spans="1:15" ht="15" x14ac:dyDescent="0.25">
      <c r="A34" s="2" t="s">
        <v>32</v>
      </c>
      <c r="B34" s="7">
        <v>76676164.434635296</v>
      </c>
      <c r="C34" s="8">
        <v>52557764.270000003</v>
      </c>
      <c r="E34" s="2" t="s">
        <v>32</v>
      </c>
      <c r="F34" s="7">
        <v>86126328.601186603</v>
      </c>
      <c r="G34" s="8">
        <v>53600356.434983462</v>
      </c>
      <c r="I34" s="2" t="s">
        <v>32</v>
      </c>
      <c r="J34" s="7">
        <v>91925073.200342566</v>
      </c>
      <c r="K34" s="8">
        <v>45805522.16580081</v>
      </c>
      <c r="M34" s="2" t="s">
        <v>32</v>
      </c>
      <c r="N34" s="7">
        <v>96068570.219469979</v>
      </c>
      <c r="O34" s="8">
        <v>51290992.576409474</v>
      </c>
    </row>
    <row r="35" spans="1:15" ht="15" x14ac:dyDescent="0.25">
      <c r="A35" s="2" t="s">
        <v>33</v>
      </c>
      <c r="B35" s="7">
        <v>6039680.065804841</v>
      </c>
      <c r="C35" s="8">
        <v>38049026.859999999</v>
      </c>
      <c r="E35" s="2" t="s">
        <v>33</v>
      </c>
      <c r="F35" s="7">
        <v>5932555.4180466421</v>
      </c>
      <c r="G35" s="8">
        <v>40961180.718287796</v>
      </c>
      <c r="I35" s="2" t="s">
        <v>33</v>
      </c>
      <c r="J35" s="7">
        <v>5516436.558425542</v>
      </c>
      <c r="K35" s="8">
        <v>42848781.175220937</v>
      </c>
      <c r="M35" s="2" t="s">
        <v>33</v>
      </c>
      <c r="N35" s="7">
        <v>5245081.3810703773</v>
      </c>
      <c r="O35" s="8">
        <v>43998005.088254929</v>
      </c>
    </row>
    <row r="36" spans="1:15" ht="15" x14ac:dyDescent="0.25">
      <c r="A36" s="2" t="s">
        <v>34</v>
      </c>
      <c r="B36" s="7">
        <v>195311138.00383744</v>
      </c>
      <c r="C36" s="8">
        <v>122919116.7</v>
      </c>
      <c r="E36" s="2" t="s">
        <v>34</v>
      </c>
      <c r="F36" s="7">
        <v>218227000.99251097</v>
      </c>
      <c r="G36" s="8">
        <v>117582348.27246243</v>
      </c>
      <c r="I36" s="2" t="s">
        <v>34</v>
      </c>
      <c r="J36" s="7">
        <v>236329275.60722667</v>
      </c>
      <c r="K36" s="8">
        <v>130887816.79448804</v>
      </c>
      <c r="M36" s="2" t="s">
        <v>34</v>
      </c>
      <c r="N36" s="7">
        <v>242479383.29689911</v>
      </c>
      <c r="O36" s="8">
        <v>159542583.09563664</v>
      </c>
    </row>
    <row r="37" spans="1:15" ht="15" x14ac:dyDescent="0.25">
      <c r="A37" s="2" t="s">
        <v>35</v>
      </c>
      <c r="B37" s="7">
        <v>399880981.30238885</v>
      </c>
      <c r="C37" s="8">
        <v>438403871.89999998</v>
      </c>
      <c r="E37" s="2" t="s">
        <v>35</v>
      </c>
      <c r="F37" s="7">
        <v>379045428.46206039</v>
      </c>
      <c r="G37" s="8">
        <v>439637406.55677003</v>
      </c>
      <c r="I37" s="2" t="s">
        <v>35</v>
      </c>
      <c r="J37" s="7">
        <v>423237193.54620236</v>
      </c>
      <c r="K37" s="8">
        <v>495348499.82854009</v>
      </c>
      <c r="M37" s="2" t="s">
        <v>35</v>
      </c>
      <c r="N37" s="7">
        <v>482738628.99967623</v>
      </c>
      <c r="O37" s="8">
        <v>557734344.63197875</v>
      </c>
    </row>
    <row r="38" spans="1:15" ht="15" x14ac:dyDescent="0.25">
      <c r="A38" s="2" t="s">
        <v>36</v>
      </c>
      <c r="B38" s="7">
        <v>33023017.766601373</v>
      </c>
      <c r="C38" s="8">
        <v>46757709.789999999</v>
      </c>
      <c r="E38" s="2" t="s">
        <v>36</v>
      </c>
      <c r="F38" s="7">
        <v>36421662.564680099</v>
      </c>
      <c r="G38" s="8">
        <v>45934966.2225741</v>
      </c>
      <c r="I38" s="2" t="s">
        <v>36</v>
      </c>
      <c r="J38" s="7">
        <v>36720988.577452458</v>
      </c>
      <c r="K38" s="8">
        <v>45743830.170056552</v>
      </c>
      <c r="M38" s="2" t="s">
        <v>36</v>
      </c>
      <c r="N38" s="7">
        <v>37977763.203367852</v>
      </c>
      <c r="O38" s="8">
        <v>55380292.601681352</v>
      </c>
    </row>
    <row r="39" spans="1:15" ht="15" x14ac:dyDescent="0.25">
      <c r="A39" s="2" t="s">
        <v>37</v>
      </c>
      <c r="B39" s="7">
        <v>117888519.45036092</v>
      </c>
      <c r="C39" s="8">
        <v>137581106.09999999</v>
      </c>
      <c r="E39" s="2" t="s">
        <v>37</v>
      </c>
      <c r="F39" s="7">
        <v>119177664.3649714</v>
      </c>
      <c r="G39" s="8">
        <v>114637688.41518188</v>
      </c>
      <c r="I39" s="2" t="s">
        <v>37</v>
      </c>
      <c r="J39" s="7">
        <v>136084590.41916433</v>
      </c>
      <c r="K39" s="8">
        <v>126900229.17758307</v>
      </c>
      <c r="M39" s="2" t="s">
        <v>37</v>
      </c>
      <c r="N39" s="7">
        <v>177119542.40401098</v>
      </c>
      <c r="O39" s="8">
        <v>126951478.07110846</v>
      </c>
    </row>
    <row r="40" spans="1:15" ht="15" x14ac:dyDescent="0.25">
      <c r="A40" s="2" t="s">
        <v>38</v>
      </c>
      <c r="B40" s="7">
        <v>52695210.267845355</v>
      </c>
      <c r="C40" s="8">
        <v>37457612.310000002</v>
      </c>
      <c r="E40" s="2" t="s">
        <v>38</v>
      </c>
      <c r="F40" s="7">
        <v>46309264.057800844</v>
      </c>
      <c r="G40" s="8">
        <v>36629380.208996922</v>
      </c>
      <c r="I40" s="2" t="s">
        <v>38</v>
      </c>
      <c r="J40" s="7">
        <v>36163868.717497893</v>
      </c>
      <c r="K40" s="8">
        <v>27367633.690385766</v>
      </c>
      <c r="M40" s="2" t="s">
        <v>38</v>
      </c>
      <c r="N40" s="7">
        <v>51610690.781479873</v>
      </c>
      <c r="O40" s="8">
        <v>34021572.188573249</v>
      </c>
    </row>
    <row r="41" spans="1:15" ht="15" x14ac:dyDescent="0.25">
      <c r="A41" s="2" t="s">
        <v>39</v>
      </c>
      <c r="B41" s="7">
        <v>1331331.151322376</v>
      </c>
      <c r="C41" s="8">
        <v>7792359.9519999996</v>
      </c>
      <c r="E41" s="2" t="s">
        <v>39</v>
      </c>
      <c r="F41" s="7">
        <v>1139068.661310144</v>
      </c>
      <c r="G41" s="8">
        <v>8229496.7064436246</v>
      </c>
      <c r="I41" s="2" t="s">
        <v>39</v>
      </c>
      <c r="J41" s="7">
        <v>1073301.0990837808</v>
      </c>
      <c r="K41" s="8">
        <v>7386361.3608506825</v>
      </c>
      <c r="M41" s="2" t="s">
        <v>39</v>
      </c>
      <c r="N41" s="7">
        <v>1066085.6142695078</v>
      </c>
      <c r="O41" s="8">
        <v>7349409.0410781596</v>
      </c>
    </row>
    <row r="42" spans="1:15" ht="15" x14ac:dyDescent="0.25">
      <c r="A42" s="2" t="s">
        <v>40</v>
      </c>
      <c r="B42" s="7">
        <v>54289900.269937746</v>
      </c>
      <c r="C42" s="8">
        <v>69014420.530000001</v>
      </c>
      <c r="E42" s="2" t="s">
        <v>40</v>
      </c>
      <c r="F42" s="7">
        <v>54065829.464058265</v>
      </c>
      <c r="G42" s="8">
        <v>66459383.695234574</v>
      </c>
      <c r="I42" s="2" t="s">
        <v>40</v>
      </c>
      <c r="J42" s="7">
        <v>51422198.42961321</v>
      </c>
      <c r="K42" s="8">
        <v>60926678.885782063</v>
      </c>
      <c r="M42" s="2" t="s">
        <v>40</v>
      </c>
      <c r="N42" s="7">
        <v>55831538.232639372</v>
      </c>
      <c r="O42" s="8">
        <v>56636626.450868703</v>
      </c>
    </row>
    <row r="43" spans="1:15" ht="15" x14ac:dyDescent="0.25">
      <c r="A43" s="2" t="s">
        <v>41</v>
      </c>
      <c r="B43" s="7">
        <v>1092531.7314014165</v>
      </c>
      <c r="C43" s="8">
        <v>5107875.8530000001</v>
      </c>
      <c r="E43" s="2" t="s">
        <v>41</v>
      </c>
      <c r="F43" s="7">
        <v>1326093.0857067099</v>
      </c>
      <c r="G43" s="8">
        <v>6257146.7984035611</v>
      </c>
      <c r="I43" s="2" t="s">
        <v>41</v>
      </c>
      <c r="J43" s="7">
        <v>1222594.4861111005</v>
      </c>
      <c r="K43" s="8">
        <v>6187764.6213484509</v>
      </c>
      <c r="M43" s="2" t="s">
        <v>41</v>
      </c>
      <c r="N43" s="7">
        <v>1257655.2950864378</v>
      </c>
      <c r="O43" s="8">
        <v>4967738.5008500097</v>
      </c>
    </row>
    <row r="44" spans="1:15" ht="15" x14ac:dyDescent="0.25">
      <c r="A44" s="2" t="s">
        <v>42</v>
      </c>
      <c r="B44" s="7">
        <v>94001289.978668928</v>
      </c>
      <c r="C44" s="8">
        <v>81887863.060000002</v>
      </c>
      <c r="E44" s="2" t="s">
        <v>42</v>
      </c>
      <c r="F44" s="7">
        <v>104173534.87398493</v>
      </c>
      <c r="G44" s="8">
        <v>78032398.429258674</v>
      </c>
      <c r="I44" s="2" t="s">
        <v>42</v>
      </c>
      <c r="J44" s="7">
        <v>110039652.08449414</v>
      </c>
      <c r="K44" s="8">
        <v>91180066.835682526</v>
      </c>
      <c r="M44" s="2" t="s">
        <v>42</v>
      </c>
      <c r="N44" s="7">
        <v>119898516.85883181</v>
      </c>
      <c r="O44" s="8">
        <v>85588922.761573255</v>
      </c>
    </row>
    <row r="45" spans="1:15" ht="15" x14ac:dyDescent="0.25">
      <c r="A45" s="2" t="s">
        <v>43</v>
      </c>
      <c r="B45" s="7">
        <v>13201066.607136322</v>
      </c>
      <c r="C45" s="8">
        <v>9879772.7890000008</v>
      </c>
      <c r="E45" s="2" t="s">
        <v>43</v>
      </c>
      <c r="F45" s="7">
        <v>12338588.233826075</v>
      </c>
      <c r="G45" s="8">
        <v>9528048.0906157792</v>
      </c>
      <c r="I45" s="2" t="s">
        <v>43</v>
      </c>
      <c r="J45" s="7">
        <v>12730273.271091234</v>
      </c>
      <c r="K45" s="8">
        <v>9338212.0981902387</v>
      </c>
      <c r="M45" s="2" t="s">
        <v>43</v>
      </c>
      <c r="N45" s="7">
        <v>16288995.649749804</v>
      </c>
      <c r="O45" s="8">
        <v>10550538.780386483</v>
      </c>
    </row>
    <row r="46" spans="1:15" ht="15" x14ac:dyDescent="0.25">
      <c r="A46" s="4" t="s">
        <v>44</v>
      </c>
      <c r="B46" s="7">
        <v>326440698.05655932</v>
      </c>
      <c r="C46" s="8">
        <v>324004209.69999999</v>
      </c>
      <c r="E46" s="4" t="s">
        <v>44</v>
      </c>
      <c r="F46" s="7">
        <v>388599506.69078928</v>
      </c>
      <c r="G46" s="8">
        <v>369754360.69170868</v>
      </c>
      <c r="I46" s="4" t="s">
        <v>44</v>
      </c>
      <c r="J46" s="7">
        <v>434315772.06841016</v>
      </c>
      <c r="K46" s="8">
        <v>346445325.98544705</v>
      </c>
      <c r="M46" s="4" t="s">
        <v>44</v>
      </c>
      <c r="N46" s="7">
        <v>465925689.21738267</v>
      </c>
      <c r="O46" s="8">
        <v>449604726.72429526</v>
      </c>
    </row>
    <row r="47" spans="1:15" ht="15" x14ac:dyDescent="0.25">
      <c r="A47" s="4" t="s">
        <v>45</v>
      </c>
      <c r="B47" s="7">
        <v>179980074.82498366</v>
      </c>
      <c r="C47" s="8">
        <v>144602402.90000001</v>
      </c>
      <c r="E47" s="4" t="s">
        <v>45</v>
      </c>
      <c r="F47" s="7">
        <v>191908059.00640798</v>
      </c>
      <c r="G47" s="8">
        <v>152086628.31809095</v>
      </c>
      <c r="I47" s="4" t="s">
        <v>45</v>
      </c>
      <c r="J47" s="7">
        <v>197776853.43725246</v>
      </c>
      <c r="K47" s="8">
        <v>127604747.54819098</v>
      </c>
      <c r="M47" s="4" t="s">
        <v>45</v>
      </c>
      <c r="N47" s="7">
        <v>191149075.65958968</v>
      </c>
      <c r="O47" s="8">
        <v>125378553.71471441</v>
      </c>
    </row>
    <row r="48" spans="1:15" ht="15" x14ac:dyDescent="0.25">
      <c r="A48" s="4" t="s">
        <v>46</v>
      </c>
      <c r="B48" s="7">
        <v>95488196.073736891</v>
      </c>
      <c r="C48" s="8">
        <v>51436617.140000001</v>
      </c>
      <c r="E48" s="4" t="s">
        <v>46</v>
      </c>
      <c r="F48" s="7">
        <v>89930529.507862344</v>
      </c>
      <c r="G48" s="8">
        <v>42940177.246296242</v>
      </c>
      <c r="I48" s="4" t="s">
        <v>46</v>
      </c>
      <c r="J48" s="7">
        <v>102370512.57983631</v>
      </c>
      <c r="K48" s="8">
        <v>43353121.904165044</v>
      </c>
      <c r="M48" s="4" t="s">
        <v>46</v>
      </c>
      <c r="N48" s="7">
        <v>94327203.021859258</v>
      </c>
      <c r="O48" s="8">
        <v>51929063.849728294</v>
      </c>
    </row>
    <row r="49" spans="1:54" ht="15" x14ac:dyDescent="0.25">
      <c r="A49" s="4" t="s">
        <v>47</v>
      </c>
      <c r="B49" s="7">
        <v>370272358.84282863</v>
      </c>
      <c r="C49" s="8">
        <v>474515212.19999999</v>
      </c>
      <c r="E49" s="4" t="s">
        <v>47</v>
      </c>
      <c r="F49" s="7">
        <v>365708056.58621883</v>
      </c>
      <c r="G49" s="8">
        <v>470474556.3689943</v>
      </c>
      <c r="I49" s="4" t="s">
        <v>47</v>
      </c>
      <c r="J49" s="7">
        <v>364513018.6133666</v>
      </c>
      <c r="K49" s="8">
        <v>473818183.24772733</v>
      </c>
      <c r="M49" s="4" t="s">
        <v>47</v>
      </c>
      <c r="N49" s="7">
        <v>386337910.33723378</v>
      </c>
      <c r="O49" s="8">
        <v>442581812.6325171</v>
      </c>
    </row>
    <row r="50" spans="1:54" ht="15" x14ac:dyDescent="0.25">
      <c r="A50" s="4" t="s">
        <v>48</v>
      </c>
      <c r="B50" s="7">
        <v>45405240.886454731</v>
      </c>
      <c r="C50" s="8">
        <v>199672167</v>
      </c>
      <c r="E50" s="4" t="s">
        <v>48</v>
      </c>
      <c r="F50" s="7">
        <v>44406253.216290124</v>
      </c>
      <c r="G50" s="8">
        <v>213214357.64030838</v>
      </c>
      <c r="I50" s="4" t="s">
        <v>48</v>
      </c>
      <c r="J50" s="7">
        <v>52073847.952467501</v>
      </c>
      <c r="K50" s="8">
        <v>263795930.45475876</v>
      </c>
      <c r="M50" s="4" t="s">
        <v>48</v>
      </c>
      <c r="N50" s="7">
        <v>43288438.069461122</v>
      </c>
      <c r="O50" s="8">
        <v>250083711.21276915</v>
      </c>
    </row>
    <row r="53" spans="1:54" ht="15" x14ac:dyDescent="0.2">
      <c r="A53" s="9" t="s">
        <v>93</v>
      </c>
      <c r="B53" s="9" t="s">
        <v>94</v>
      </c>
      <c r="C53" s="9" t="s">
        <v>95</v>
      </c>
      <c r="D53" s="9" t="s">
        <v>96</v>
      </c>
      <c r="E53" s="9" t="s">
        <v>97</v>
      </c>
      <c r="F53" s="9" t="s">
        <v>98</v>
      </c>
      <c r="G53" s="9" t="s">
        <v>99</v>
      </c>
      <c r="H53" s="9" t="s">
        <v>100</v>
      </c>
      <c r="I53" s="9" t="s">
        <v>101</v>
      </c>
      <c r="J53" s="9" t="s">
        <v>102</v>
      </c>
      <c r="K53" s="9" t="s">
        <v>103</v>
      </c>
      <c r="L53" s="9" t="s">
        <v>104</v>
      </c>
      <c r="M53" s="9" t="s">
        <v>105</v>
      </c>
      <c r="N53" s="9" t="s">
        <v>106</v>
      </c>
      <c r="O53" s="9" t="s">
        <v>107</v>
      </c>
      <c r="P53" s="9" t="s">
        <v>108</v>
      </c>
      <c r="Q53" s="9" t="s">
        <v>109</v>
      </c>
      <c r="R53" s="9" t="s">
        <v>110</v>
      </c>
      <c r="S53" s="9" t="s">
        <v>111</v>
      </c>
      <c r="T53" s="9" t="s">
        <v>112</v>
      </c>
      <c r="U53" s="9" t="s">
        <v>113</v>
      </c>
      <c r="V53" s="9" t="s">
        <v>114</v>
      </c>
      <c r="W53" s="9" t="s">
        <v>115</v>
      </c>
      <c r="X53" s="9" t="s">
        <v>116</v>
      </c>
      <c r="Y53" s="9" t="s">
        <v>117</v>
      </c>
      <c r="Z53" s="9" t="s">
        <v>118</v>
      </c>
      <c r="AA53" s="9" t="s">
        <v>119</v>
      </c>
      <c r="AB53" s="9" t="s">
        <v>120</v>
      </c>
      <c r="AC53" s="9" t="s">
        <v>121</v>
      </c>
      <c r="AD53" s="9" t="s">
        <v>122</v>
      </c>
      <c r="AE53" s="9" t="s">
        <v>123</v>
      </c>
      <c r="AF53" s="9" t="s">
        <v>124</v>
      </c>
      <c r="AG53" s="9" t="s">
        <v>125</v>
      </c>
      <c r="AH53" s="9" t="s">
        <v>126</v>
      </c>
      <c r="AI53" s="9" t="s">
        <v>127</v>
      </c>
      <c r="AJ53" s="9" t="s">
        <v>128</v>
      </c>
      <c r="AK53" s="9" t="s">
        <v>129</v>
      </c>
      <c r="AL53" s="9" t="s">
        <v>130</v>
      </c>
      <c r="AM53" s="9" t="s">
        <v>131</v>
      </c>
      <c r="AN53" s="9" t="s">
        <v>132</v>
      </c>
      <c r="AO53" s="9" t="s">
        <v>133</v>
      </c>
      <c r="AP53" s="9" t="s">
        <v>134</v>
      </c>
      <c r="AQ53" s="9" t="s">
        <v>135</v>
      </c>
      <c r="AR53" s="9" t="s">
        <v>136</v>
      </c>
      <c r="AS53" s="9" t="s">
        <v>44</v>
      </c>
      <c r="AT53" s="9" t="s">
        <v>45</v>
      </c>
      <c r="AU53" s="9" t="s">
        <v>46</v>
      </c>
      <c r="AV53" s="9" t="s">
        <v>47</v>
      </c>
      <c r="AW53" s="9" t="s">
        <v>48</v>
      </c>
      <c r="AX53" s="9" t="s">
        <v>137</v>
      </c>
      <c r="AY53" s="13" t="s">
        <v>138</v>
      </c>
      <c r="AZ53" s="13" t="s">
        <v>139</v>
      </c>
      <c r="BA53" s="13" t="s">
        <v>140</v>
      </c>
      <c r="BB53" s="13" t="s">
        <v>141</v>
      </c>
    </row>
    <row r="54" spans="1:54" ht="15" x14ac:dyDescent="0.2">
      <c r="A54" s="9" t="s">
        <v>124</v>
      </c>
      <c r="B54" s="10">
        <v>164000</v>
      </c>
      <c r="C54" s="10">
        <v>421000</v>
      </c>
      <c r="D54" s="10">
        <v>24300</v>
      </c>
      <c r="E54" s="10">
        <v>5940</v>
      </c>
      <c r="F54" s="10">
        <v>150000</v>
      </c>
      <c r="G54" s="10">
        <v>2100000</v>
      </c>
      <c r="H54" s="10">
        <v>123000</v>
      </c>
      <c r="I54" s="10">
        <v>7290</v>
      </c>
      <c r="J54" s="10">
        <v>593000</v>
      </c>
      <c r="K54" s="10">
        <v>81500</v>
      </c>
      <c r="L54" s="10">
        <v>919000</v>
      </c>
      <c r="M54" s="10">
        <v>104000</v>
      </c>
      <c r="N54" s="10">
        <v>12100</v>
      </c>
      <c r="O54" s="10">
        <v>98400</v>
      </c>
      <c r="P54" s="10">
        <v>341000</v>
      </c>
      <c r="Q54" s="10">
        <v>667000</v>
      </c>
      <c r="R54" s="10">
        <v>16500</v>
      </c>
      <c r="S54" s="10">
        <v>52400</v>
      </c>
      <c r="T54" s="10">
        <v>6830</v>
      </c>
      <c r="U54" s="10">
        <v>5210</v>
      </c>
      <c r="V54" s="10">
        <v>770000</v>
      </c>
      <c r="W54" s="10">
        <v>421000</v>
      </c>
      <c r="X54" s="10">
        <v>83400</v>
      </c>
      <c r="Y54" s="10">
        <v>97200</v>
      </c>
      <c r="Z54" s="10">
        <v>195000</v>
      </c>
      <c r="AA54" s="10">
        <v>12800</v>
      </c>
      <c r="AB54" s="10">
        <v>55000</v>
      </c>
      <c r="AC54" s="10">
        <v>1340000</v>
      </c>
      <c r="AD54" s="10">
        <v>10500000</v>
      </c>
      <c r="AE54" s="10">
        <v>4220000</v>
      </c>
      <c r="AF54" s="10">
        <v>581000000</v>
      </c>
      <c r="AG54" s="10">
        <v>1070000</v>
      </c>
      <c r="AH54" s="10">
        <v>2790000</v>
      </c>
      <c r="AI54" s="10">
        <v>736000</v>
      </c>
      <c r="AJ54" s="10">
        <v>2020000</v>
      </c>
      <c r="AK54" s="10">
        <v>805000</v>
      </c>
      <c r="AL54" s="10">
        <v>697000</v>
      </c>
      <c r="AM54" s="10">
        <v>995000</v>
      </c>
      <c r="AN54" s="10">
        <v>251000</v>
      </c>
      <c r="AO54" s="10">
        <v>526000</v>
      </c>
      <c r="AP54" s="10">
        <v>128000</v>
      </c>
      <c r="AQ54" s="10">
        <v>1240000</v>
      </c>
      <c r="AR54" s="10">
        <v>170000</v>
      </c>
      <c r="AS54" s="10">
        <v>22100000</v>
      </c>
      <c r="AT54" s="10">
        <v>2420000</v>
      </c>
      <c r="AU54" s="10">
        <v>422000</v>
      </c>
      <c r="AV54" s="10">
        <v>2560000</v>
      </c>
      <c r="AW54" s="10">
        <v>5710000</v>
      </c>
      <c r="AX54" s="10">
        <v>649226870</v>
      </c>
      <c r="AY54" s="11">
        <v>68226870</v>
      </c>
      <c r="AZ54" s="12">
        <v>0.1050894119647266</v>
      </c>
      <c r="BA54" s="11">
        <v>433288276.41839379</v>
      </c>
      <c r="BB54" s="11">
        <v>581000000</v>
      </c>
    </row>
    <row r="55" spans="1:54" ht="15" x14ac:dyDescent="0.2">
      <c r="A55" s="9" t="s">
        <v>127</v>
      </c>
      <c r="B55" s="10">
        <v>147000</v>
      </c>
      <c r="C55" s="10">
        <v>434000</v>
      </c>
      <c r="D55" s="10">
        <v>26000</v>
      </c>
      <c r="E55" s="10">
        <v>8890</v>
      </c>
      <c r="F55" s="10">
        <v>92300</v>
      </c>
      <c r="G55" s="10">
        <v>1510000</v>
      </c>
      <c r="H55" s="10">
        <v>97700</v>
      </c>
      <c r="I55" s="10">
        <v>11200</v>
      </c>
      <c r="J55" s="10">
        <v>1140000</v>
      </c>
      <c r="K55" s="10">
        <v>92000</v>
      </c>
      <c r="L55" s="10">
        <v>788000</v>
      </c>
      <c r="M55" s="10">
        <v>106000</v>
      </c>
      <c r="N55" s="10">
        <v>19300</v>
      </c>
      <c r="O55" s="10">
        <v>60900</v>
      </c>
      <c r="P55" s="10">
        <v>287000</v>
      </c>
      <c r="Q55" s="10">
        <v>761000</v>
      </c>
      <c r="R55" s="10">
        <v>19900</v>
      </c>
      <c r="S55" s="10">
        <v>60800</v>
      </c>
      <c r="T55" s="10">
        <v>7330</v>
      </c>
      <c r="U55" s="10">
        <v>9520</v>
      </c>
      <c r="V55" s="10">
        <v>1170000</v>
      </c>
      <c r="W55" s="10">
        <v>258000</v>
      </c>
      <c r="X55" s="10">
        <v>286000</v>
      </c>
      <c r="Y55" s="10">
        <v>77200</v>
      </c>
      <c r="Z55" s="10">
        <v>173000</v>
      </c>
      <c r="AA55" s="10">
        <v>22500</v>
      </c>
      <c r="AB55" s="10">
        <v>45200</v>
      </c>
      <c r="AC55" s="10">
        <v>1210000</v>
      </c>
      <c r="AD55" s="10">
        <v>8060000</v>
      </c>
      <c r="AE55" s="10">
        <v>2880000</v>
      </c>
      <c r="AF55" s="10">
        <v>36700000</v>
      </c>
      <c r="AG55" s="10">
        <v>605000</v>
      </c>
      <c r="AH55" s="10">
        <v>2040000</v>
      </c>
      <c r="AI55" s="10">
        <v>137000000</v>
      </c>
      <c r="AJ55" s="10">
        <v>2290000</v>
      </c>
      <c r="AK55" s="10">
        <v>1180000</v>
      </c>
      <c r="AL55" s="10">
        <v>526000</v>
      </c>
      <c r="AM55" s="10">
        <v>503000</v>
      </c>
      <c r="AN55" s="10">
        <v>177000</v>
      </c>
      <c r="AO55" s="10">
        <v>616000</v>
      </c>
      <c r="AP55" s="10">
        <v>128000</v>
      </c>
      <c r="AQ55" s="10">
        <v>452000</v>
      </c>
      <c r="AR55" s="10">
        <v>185000</v>
      </c>
      <c r="AS55" s="10">
        <v>13000000</v>
      </c>
      <c r="AT55" s="10">
        <v>7440000</v>
      </c>
      <c r="AU55" s="10">
        <v>270000</v>
      </c>
      <c r="AV55" s="10">
        <v>2260000</v>
      </c>
      <c r="AW55" s="10">
        <v>16700000</v>
      </c>
      <c r="AX55" s="10">
        <v>241932740</v>
      </c>
      <c r="AY55" s="11">
        <v>104932740</v>
      </c>
      <c r="AZ55" s="12">
        <v>0.43372691104147376</v>
      </c>
      <c r="BA55" s="11">
        <v>182745773.20746416</v>
      </c>
      <c r="BB55" s="11">
        <v>137000000</v>
      </c>
    </row>
    <row r="56" spans="1:54" ht="15" x14ac:dyDescent="0.2">
      <c r="A56" s="9" t="s">
        <v>128</v>
      </c>
      <c r="B56" s="10">
        <v>183000</v>
      </c>
      <c r="C56" s="10">
        <v>592000</v>
      </c>
      <c r="D56" s="10">
        <v>59400</v>
      </c>
      <c r="E56" s="10">
        <v>8970</v>
      </c>
      <c r="F56" s="10">
        <v>132000</v>
      </c>
      <c r="G56" s="10">
        <v>1810000</v>
      </c>
      <c r="H56" s="10">
        <v>139000</v>
      </c>
      <c r="I56" s="10">
        <v>28500</v>
      </c>
      <c r="J56" s="10">
        <v>520000</v>
      </c>
      <c r="K56" s="10">
        <v>125000</v>
      </c>
      <c r="L56" s="10">
        <v>1000000</v>
      </c>
      <c r="M56" s="10">
        <v>157000</v>
      </c>
      <c r="N56" s="10">
        <v>50000</v>
      </c>
      <c r="O56" s="10">
        <v>111000</v>
      </c>
      <c r="P56" s="10">
        <v>361000</v>
      </c>
      <c r="Q56" s="10">
        <v>828000</v>
      </c>
      <c r="R56" s="10">
        <v>54900</v>
      </c>
      <c r="S56" s="10">
        <v>92100</v>
      </c>
      <c r="T56" s="10">
        <v>19200</v>
      </c>
      <c r="U56" s="10">
        <v>19600</v>
      </c>
      <c r="V56" s="10">
        <v>779000</v>
      </c>
      <c r="W56" s="10">
        <v>367000</v>
      </c>
      <c r="X56" s="10">
        <v>125000</v>
      </c>
      <c r="Y56" s="10">
        <v>129000</v>
      </c>
      <c r="Z56" s="10">
        <v>220000</v>
      </c>
      <c r="AA56" s="10">
        <v>52300</v>
      </c>
      <c r="AB56" s="10">
        <v>81200</v>
      </c>
      <c r="AC56" s="10">
        <v>1660000</v>
      </c>
      <c r="AD56" s="10">
        <v>8150000</v>
      </c>
      <c r="AE56" s="10">
        <v>1290000</v>
      </c>
      <c r="AF56" s="10">
        <v>7310000</v>
      </c>
      <c r="AG56" s="10">
        <v>726000</v>
      </c>
      <c r="AH56" s="10">
        <v>1280000</v>
      </c>
      <c r="AI56" s="10">
        <v>683000</v>
      </c>
      <c r="AJ56" s="10">
        <v>403000000</v>
      </c>
      <c r="AK56" s="10">
        <v>441000</v>
      </c>
      <c r="AL56" s="10">
        <v>824000</v>
      </c>
      <c r="AM56" s="10">
        <v>720000</v>
      </c>
      <c r="AN56" s="10">
        <v>272000</v>
      </c>
      <c r="AO56" s="10">
        <v>621000</v>
      </c>
      <c r="AP56" s="10">
        <v>214000</v>
      </c>
      <c r="AQ56" s="10">
        <v>1190000</v>
      </c>
      <c r="AR56" s="10">
        <v>290000</v>
      </c>
      <c r="AS56" s="10">
        <v>21100000</v>
      </c>
      <c r="AT56" s="10">
        <v>1140000</v>
      </c>
      <c r="AU56" s="10">
        <v>422000</v>
      </c>
      <c r="AV56" s="10">
        <v>6140000</v>
      </c>
      <c r="AW56" s="10">
        <v>17300000</v>
      </c>
      <c r="AX56" s="10">
        <v>482817170</v>
      </c>
      <c r="AY56" s="11">
        <v>79817170</v>
      </c>
      <c r="AZ56" s="12">
        <v>0.16531551684460599</v>
      </c>
      <c r="BA56" s="11">
        <v>343977998.86121786</v>
      </c>
      <c r="BB56" s="11">
        <v>403000000</v>
      </c>
    </row>
    <row r="57" spans="1:54" ht="15" x14ac:dyDescent="0.2">
      <c r="A57" s="9" t="s">
        <v>131</v>
      </c>
      <c r="B57" s="10">
        <v>70100</v>
      </c>
      <c r="C57" s="10">
        <v>170000</v>
      </c>
      <c r="D57" s="10">
        <v>32900</v>
      </c>
      <c r="E57" s="10">
        <v>14200</v>
      </c>
      <c r="F57" s="10">
        <v>59100</v>
      </c>
      <c r="G57" s="10">
        <v>1070000</v>
      </c>
      <c r="H57" s="10">
        <v>63300</v>
      </c>
      <c r="I57" s="10">
        <v>21300</v>
      </c>
      <c r="J57" s="10">
        <v>126000</v>
      </c>
      <c r="K57" s="10">
        <v>54000</v>
      </c>
      <c r="L57" s="10">
        <v>295000</v>
      </c>
      <c r="M57" s="10">
        <v>56400</v>
      </c>
      <c r="N57" s="10">
        <v>30200</v>
      </c>
      <c r="O57" s="10">
        <v>49600</v>
      </c>
      <c r="P57" s="10">
        <v>125000</v>
      </c>
      <c r="Q57" s="10">
        <v>185000</v>
      </c>
      <c r="R57" s="10">
        <v>28300</v>
      </c>
      <c r="S57" s="10">
        <v>57000</v>
      </c>
      <c r="T57" s="10">
        <v>21500</v>
      </c>
      <c r="U57" s="10">
        <v>16900</v>
      </c>
      <c r="V57" s="10">
        <v>302000</v>
      </c>
      <c r="W57" s="10">
        <v>99200</v>
      </c>
      <c r="X57" s="10">
        <v>49800</v>
      </c>
      <c r="Y57" s="10">
        <v>48800</v>
      </c>
      <c r="Z57" s="10">
        <v>91900</v>
      </c>
      <c r="AA57" s="10">
        <v>28300</v>
      </c>
      <c r="AB57" s="10">
        <v>43000</v>
      </c>
      <c r="AC57" s="10">
        <v>440000</v>
      </c>
      <c r="AD57" s="10">
        <v>1710000</v>
      </c>
      <c r="AE57" s="10">
        <v>3300000</v>
      </c>
      <c r="AF57" s="10">
        <v>9230000</v>
      </c>
      <c r="AG57" s="10">
        <v>189000</v>
      </c>
      <c r="AH57" s="10">
        <v>2700000</v>
      </c>
      <c r="AI57" s="10">
        <v>137000</v>
      </c>
      <c r="AJ57" s="10">
        <v>619000</v>
      </c>
      <c r="AK57" s="10">
        <v>113000</v>
      </c>
      <c r="AL57" s="10">
        <v>123000</v>
      </c>
      <c r="AM57" s="10">
        <v>16500000</v>
      </c>
      <c r="AN57" s="10">
        <v>72600</v>
      </c>
      <c r="AO57" s="10">
        <v>111000</v>
      </c>
      <c r="AP57" s="10">
        <v>60300</v>
      </c>
      <c r="AQ57" s="10">
        <v>1140000</v>
      </c>
      <c r="AR57" s="10">
        <v>67800</v>
      </c>
      <c r="AS57" s="10">
        <v>7870000</v>
      </c>
      <c r="AT57" s="10">
        <v>218000</v>
      </c>
      <c r="AU57" s="10">
        <v>82800</v>
      </c>
      <c r="AV57" s="10">
        <v>383000</v>
      </c>
      <c r="AW57" s="10">
        <v>3220000</v>
      </c>
      <c r="AX57" s="10">
        <v>51495300</v>
      </c>
      <c r="AY57" s="11">
        <v>34995300</v>
      </c>
      <c r="AZ57" s="12">
        <v>0.67958240849164875</v>
      </c>
      <c r="BA57" s="11">
        <v>48794288.319036976</v>
      </c>
      <c r="BB57" s="11">
        <v>16500000</v>
      </c>
    </row>
    <row r="58" spans="1:54" ht="15" x14ac:dyDescent="0.2">
      <c r="A58" s="9" t="s">
        <v>135</v>
      </c>
      <c r="B58" s="10">
        <v>68600</v>
      </c>
      <c r="C58" s="10">
        <v>203000</v>
      </c>
      <c r="D58" s="10">
        <v>15700</v>
      </c>
      <c r="E58" s="10">
        <v>3970</v>
      </c>
      <c r="F58" s="10">
        <v>47900</v>
      </c>
      <c r="G58" s="10">
        <v>889000</v>
      </c>
      <c r="H58" s="10">
        <v>63500</v>
      </c>
      <c r="I58" s="10">
        <v>5980</v>
      </c>
      <c r="J58" s="10">
        <v>878000</v>
      </c>
      <c r="K58" s="10">
        <v>40700</v>
      </c>
      <c r="L58" s="10">
        <v>486000</v>
      </c>
      <c r="M58" s="10">
        <v>57100</v>
      </c>
      <c r="N58" s="10">
        <v>11100</v>
      </c>
      <c r="O58" s="10">
        <v>37000</v>
      </c>
      <c r="P58" s="10">
        <v>171000</v>
      </c>
      <c r="Q58" s="10">
        <v>908000</v>
      </c>
      <c r="R58" s="10">
        <v>10400</v>
      </c>
      <c r="S58" s="10">
        <v>24400</v>
      </c>
      <c r="T58" s="10">
        <v>5660</v>
      </c>
      <c r="U58" s="10">
        <v>4340</v>
      </c>
      <c r="V58" s="10">
        <v>460000</v>
      </c>
      <c r="W58" s="10">
        <v>124000</v>
      </c>
      <c r="X58" s="10">
        <v>44100</v>
      </c>
      <c r="Y58" s="10">
        <v>47800</v>
      </c>
      <c r="Z58" s="10">
        <v>128000</v>
      </c>
      <c r="AA58" s="10">
        <v>10400</v>
      </c>
      <c r="AB58" s="10">
        <v>25900</v>
      </c>
      <c r="AC58" s="10">
        <v>652000</v>
      </c>
      <c r="AD58" s="10">
        <v>5170000</v>
      </c>
      <c r="AE58" s="10">
        <v>1950000</v>
      </c>
      <c r="AF58" s="10">
        <v>17300000</v>
      </c>
      <c r="AG58" s="10">
        <v>370000</v>
      </c>
      <c r="AH58" s="10">
        <v>1070000</v>
      </c>
      <c r="AI58" s="10">
        <v>536000</v>
      </c>
      <c r="AJ58" s="10">
        <v>10700000</v>
      </c>
      <c r="AK58" s="10">
        <v>288000</v>
      </c>
      <c r="AL58" s="10">
        <v>380000</v>
      </c>
      <c r="AM58" s="10">
        <v>439000</v>
      </c>
      <c r="AN58" s="10">
        <v>99700</v>
      </c>
      <c r="AO58" s="10">
        <v>485000</v>
      </c>
      <c r="AP58" s="10">
        <v>49600</v>
      </c>
      <c r="AQ58" s="10">
        <v>52800000</v>
      </c>
      <c r="AR58" s="10">
        <v>84000</v>
      </c>
      <c r="AS58" s="10">
        <v>12600000</v>
      </c>
      <c r="AT58" s="10">
        <v>998000</v>
      </c>
      <c r="AU58" s="10">
        <v>281000</v>
      </c>
      <c r="AV58" s="10">
        <v>2890000</v>
      </c>
      <c r="AW58" s="10">
        <v>5860000</v>
      </c>
      <c r="AX58" s="10">
        <v>119773850</v>
      </c>
      <c r="AY58" s="11">
        <v>66973850</v>
      </c>
      <c r="AZ58" s="12">
        <v>0.5591692176547719</v>
      </c>
      <c r="BA58" s="11">
        <v>116971717.17112757</v>
      </c>
      <c r="BB58" s="11">
        <v>52800000</v>
      </c>
    </row>
    <row r="59" spans="1:54" ht="15" x14ac:dyDescent="0.2">
      <c r="A59" s="9" t="s">
        <v>44</v>
      </c>
      <c r="B59" s="10">
        <v>512000</v>
      </c>
      <c r="C59" s="10">
        <v>1890000</v>
      </c>
      <c r="D59" s="10">
        <v>232000</v>
      </c>
      <c r="E59" s="10">
        <v>26900</v>
      </c>
      <c r="F59" s="10">
        <v>440000</v>
      </c>
      <c r="G59" s="10">
        <v>8060000</v>
      </c>
      <c r="H59" s="10">
        <v>375000</v>
      </c>
      <c r="I59" s="10">
        <v>44800</v>
      </c>
      <c r="J59" s="10">
        <v>3000000</v>
      </c>
      <c r="K59" s="10">
        <v>388000</v>
      </c>
      <c r="L59" s="10">
        <v>2900000</v>
      </c>
      <c r="M59" s="10">
        <v>372000</v>
      </c>
      <c r="N59" s="10">
        <v>77200</v>
      </c>
      <c r="O59" s="10">
        <v>390000</v>
      </c>
      <c r="P59" s="10">
        <v>646000</v>
      </c>
      <c r="Q59" s="10">
        <v>3260000</v>
      </c>
      <c r="R59" s="10">
        <v>169000</v>
      </c>
      <c r="S59" s="10">
        <v>411000</v>
      </c>
      <c r="T59" s="10">
        <v>137000</v>
      </c>
      <c r="U59" s="10">
        <v>25300</v>
      </c>
      <c r="V59" s="10">
        <v>3170000</v>
      </c>
      <c r="W59" s="10">
        <v>1500000</v>
      </c>
      <c r="X59" s="10">
        <v>313000</v>
      </c>
      <c r="Y59" s="10">
        <v>397000</v>
      </c>
      <c r="Z59" s="10">
        <v>688000</v>
      </c>
      <c r="AA59" s="10">
        <v>134000</v>
      </c>
      <c r="AB59" s="10">
        <v>286000</v>
      </c>
      <c r="AC59" s="10">
        <v>4190000</v>
      </c>
      <c r="AD59" s="10">
        <v>24000000</v>
      </c>
      <c r="AE59" s="10">
        <v>14100000</v>
      </c>
      <c r="AF59" s="10">
        <v>80800000</v>
      </c>
      <c r="AG59" s="10">
        <v>2160000</v>
      </c>
      <c r="AH59" s="10">
        <v>7090000</v>
      </c>
      <c r="AI59" s="10">
        <v>1980000</v>
      </c>
      <c r="AJ59" s="10">
        <v>18300000</v>
      </c>
      <c r="AK59" s="10">
        <v>1280000</v>
      </c>
      <c r="AL59" s="10">
        <v>5980000</v>
      </c>
      <c r="AM59" s="10">
        <v>3420000</v>
      </c>
      <c r="AN59" s="10">
        <v>771000</v>
      </c>
      <c r="AO59" s="10">
        <v>3250000</v>
      </c>
      <c r="AP59" s="10">
        <v>342000</v>
      </c>
      <c r="AQ59" s="10">
        <v>6790000</v>
      </c>
      <c r="AR59" s="10">
        <v>546000</v>
      </c>
      <c r="AS59" s="10">
        <v>230000000</v>
      </c>
      <c r="AT59" s="10">
        <v>3900000</v>
      </c>
      <c r="AU59" s="10">
        <v>1510000</v>
      </c>
      <c r="AV59" s="10">
        <v>6070000</v>
      </c>
      <c r="AW59" s="10">
        <v>19200000</v>
      </c>
      <c r="AX59" s="10">
        <v>465523200</v>
      </c>
      <c r="AY59" s="11">
        <v>235523200</v>
      </c>
      <c r="AZ59" s="12">
        <v>0.50593224999312603</v>
      </c>
      <c r="BA59" s="11">
        <v>426746782.00225592</v>
      </c>
      <c r="BB59" s="11">
        <v>230000000</v>
      </c>
    </row>
    <row r="60" spans="1:54" ht="15" x14ac:dyDescent="0.2">
      <c r="A60" s="9" t="s">
        <v>47</v>
      </c>
      <c r="B60" s="10">
        <v>376000</v>
      </c>
      <c r="C60" s="10">
        <v>1370000</v>
      </c>
      <c r="D60" s="10">
        <v>103000</v>
      </c>
      <c r="E60" s="10">
        <v>9850</v>
      </c>
      <c r="F60" s="10">
        <v>266000</v>
      </c>
      <c r="G60" s="10">
        <v>4120000</v>
      </c>
      <c r="H60" s="10">
        <v>321000</v>
      </c>
      <c r="I60" s="10">
        <v>48900</v>
      </c>
      <c r="J60" s="10">
        <v>3270000</v>
      </c>
      <c r="K60" s="10">
        <v>183000</v>
      </c>
      <c r="L60" s="10">
        <v>5560000</v>
      </c>
      <c r="M60" s="10">
        <v>305000</v>
      </c>
      <c r="N60" s="10">
        <v>77900</v>
      </c>
      <c r="O60" s="10">
        <v>181000</v>
      </c>
      <c r="P60" s="10">
        <v>604000</v>
      </c>
      <c r="Q60" s="10">
        <v>2310000</v>
      </c>
      <c r="R60" s="10">
        <v>75100</v>
      </c>
      <c r="S60" s="10">
        <v>162000</v>
      </c>
      <c r="T60" s="10">
        <v>35200</v>
      </c>
      <c r="U60" s="10">
        <v>34400</v>
      </c>
      <c r="V60" s="10">
        <v>2830000</v>
      </c>
      <c r="W60" s="10">
        <v>818000</v>
      </c>
      <c r="X60" s="10">
        <v>353000</v>
      </c>
      <c r="Y60" s="10">
        <v>248000</v>
      </c>
      <c r="Z60" s="10">
        <v>379000</v>
      </c>
      <c r="AA60" s="10">
        <v>78700</v>
      </c>
      <c r="AB60" s="10">
        <v>153000</v>
      </c>
      <c r="AC60" s="10">
        <v>2970000</v>
      </c>
      <c r="AD60" s="10">
        <v>9860000</v>
      </c>
      <c r="AE60" s="10">
        <v>2610000</v>
      </c>
      <c r="AF60" s="10">
        <v>16300000</v>
      </c>
      <c r="AG60" s="10">
        <v>1230000</v>
      </c>
      <c r="AH60" s="10">
        <v>1240000</v>
      </c>
      <c r="AI60" s="10">
        <v>3340000</v>
      </c>
      <c r="AJ60" s="10">
        <v>7750000</v>
      </c>
      <c r="AK60" s="10">
        <v>589000</v>
      </c>
      <c r="AL60" s="10">
        <v>1100000</v>
      </c>
      <c r="AM60" s="10">
        <v>615000</v>
      </c>
      <c r="AN60" s="10">
        <v>673000</v>
      </c>
      <c r="AO60" s="10">
        <v>2120000</v>
      </c>
      <c r="AP60" s="10">
        <v>325000</v>
      </c>
      <c r="AQ60" s="10">
        <v>838000</v>
      </c>
      <c r="AR60" s="10">
        <v>861000</v>
      </c>
      <c r="AS60" s="10">
        <v>11300000</v>
      </c>
      <c r="AT60" s="10">
        <v>1470000</v>
      </c>
      <c r="AU60" s="10">
        <v>749000</v>
      </c>
      <c r="AV60" s="10">
        <v>286000000</v>
      </c>
      <c r="AW60" s="10">
        <v>9560000</v>
      </c>
      <c r="AX60" s="10">
        <v>385772050</v>
      </c>
      <c r="AY60" s="11">
        <v>99772050</v>
      </c>
      <c r="AZ60" s="12">
        <v>0.25862954560860485</v>
      </c>
      <c r="BA60" s="11">
        <v>365609203.11575043</v>
      </c>
      <c r="BB60" s="11">
        <v>286000000</v>
      </c>
    </row>
  </sheetData>
  <mergeCells count="4">
    <mergeCell ref="A1:C1"/>
    <mergeCell ref="E1:G1"/>
    <mergeCell ref="I1:K1"/>
    <mergeCell ref="M1:O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9829-607A-4627-B7CF-468663CD55F9}">
  <dimension ref="A1:O50"/>
  <sheetViews>
    <sheetView topLeftCell="A16" workbookViewId="0">
      <selection activeCell="I32" sqref="I32"/>
    </sheetView>
  </sheetViews>
  <sheetFormatPr defaultRowHeight="14.25" x14ac:dyDescent="0.2"/>
  <sheetData>
    <row r="1" spans="1:15" ht="15" x14ac:dyDescent="0.2">
      <c r="A1" s="18">
        <v>2011</v>
      </c>
      <c r="B1" s="19"/>
      <c r="C1" s="20"/>
      <c r="E1" s="18">
        <v>2015</v>
      </c>
      <c r="F1" s="19"/>
      <c r="G1" s="20"/>
      <c r="I1" s="18">
        <v>2019</v>
      </c>
      <c r="J1" s="19"/>
      <c r="K1" s="20"/>
      <c r="M1" s="18">
        <v>2022</v>
      </c>
      <c r="N1" s="19"/>
      <c r="O1" s="20"/>
    </row>
    <row r="2" spans="1:15" ht="15" x14ac:dyDescent="0.2">
      <c r="A2" s="5" t="s">
        <v>50</v>
      </c>
      <c r="B2" s="6" t="s">
        <v>142</v>
      </c>
      <c r="C2" s="6" t="s">
        <v>143</v>
      </c>
      <c r="E2" s="5" t="s">
        <v>50</v>
      </c>
      <c r="F2" s="6" t="s">
        <v>142</v>
      </c>
      <c r="G2" s="6" t="s">
        <v>143</v>
      </c>
      <c r="I2" s="5" t="s">
        <v>50</v>
      </c>
      <c r="J2" s="6" t="s">
        <v>142</v>
      </c>
      <c r="K2" s="6" t="s">
        <v>143</v>
      </c>
      <c r="M2" s="5" t="s">
        <v>50</v>
      </c>
      <c r="N2" s="6" t="s">
        <v>142</v>
      </c>
      <c r="O2" s="6" t="s">
        <v>143</v>
      </c>
    </row>
    <row r="3" spans="1:15" ht="15" x14ac:dyDescent="0.25">
      <c r="A3" s="2" t="s">
        <v>1</v>
      </c>
      <c r="B3" s="14">
        <v>1.262414452983198</v>
      </c>
      <c r="C3" s="14">
        <v>0.71221899383188836</v>
      </c>
      <c r="E3" s="2" t="s">
        <v>1</v>
      </c>
      <c r="F3" s="14">
        <v>1.281942260811926</v>
      </c>
      <c r="G3" s="14">
        <v>0.41506031125975568</v>
      </c>
      <c r="I3" s="2" t="s">
        <v>1</v>
      </c>
      <c r="J3" s="14">
        <v>1.2887986878831645</v>
      </c>
      <c r="K3" s="14">
        <v>0.39669361425230915</v>
      </c>
      <c r="M3" s="2" t="s">
        <v>1</v>
      </c>
      <c r="N3" s="14">
        <v>1.2866382133826351</v>
      </c>
      <c r="O3" s="14">
        <v>0.48767636505908818</v>
      </c>
    </row>
    <row r="4" spans="1:15" ht="15" x14ac:dyDescent="0.25">
      <c r="A4" s="2" t="s">
        <v>2</v>
      </c>
      <c r="B4" s="14">
        <v>1.4601893886538526</v>
      </c>
      <c r="C4" s="14">
        <v>1.1900717824510501</v>
      </c>
      <c r="E4" s="2" t="s">
        <v>2</v>
      </c>
      <c r="F4" s="14">
        <v>1.5319589980514505</v>
      </c>
      <c r="G4" s="14">
        <v>0.73141234309686176</v>
      </c>
      <c r="I4" s="2" t="s">
        <v>2</v>
      </c>
      <c r="J4" s="14">
        <v>1.5147010838300037</v>
      </c>
      <c r="K4" s="14">
        <v>1.0310889586022176</v>
      </c>
      <c r="M4" s="2" t="s">
        <v>2</v>
      </c>
      <c r="N4" s="14">
        <v>1.5507602735498325</v>
      </c>
      <c r="O4" s="14">
        <v>1.1079800750797617</v>
      </c>
    </row>
    <row r="5" spans="1:15" ht="15" x14ac:dyDescent="0.25">
      <c r="A5" s="2" t="s">
        <v>3</v>
      </c>
      <c r="B5" s="14">
        <v>1.1459571005198972</v>
      </c>
      <c r="C5" s="14">
        <v>0.34294780788149221</v>
      </c>
      <c r="E5" s="2" t="s">
        <v>3</v>
      </c>
      <c r="F5" s="14">
        <v>1.1965774153844222</v>
      </c>
      <c r="G5" s="14">
        <v>0.15787249845328302</v>
      </c>
      <c r="I5" s="2" t="s">
        <v>3</v>
      </c>
      <c r="J5" s="14">
        <v>1.188342964541484</v>
      </c>
      <c r="K5" s="14">
        <v>0.27351150021665266</v>
      </c>
      <c r="M5" s="2" t="s">
        <v>3</v>
      </c>
      <c r="N5" s="14">
        <v>1.042007530033334</v>
      </c>
      <c r="O5" s="14">
        <v>0.27102364852159572</v>
      </c>
    </row>
    <row r="6" spans="1:15" ht="15" x14ac:dyDescent="0.25">
      <c r="A6" s="2" t="s">
        <v>4</v>
      </c>
      <c r="B6" s="14">
        <v>1.2172995635757802</v>
      </c>
      <c r="C6" s="14">
        <v>0.18595237119294347</v>
      </c>
      <c r="E6" s="2" t="s">
        <v>4</v>
      </c>
      <c r="F6" s="14">
        <v>1.4681073676278589</v>
      </c>
      <c r="G6" s="14">
        <v>0.10852215986322011</v>
      </c>
      <c r="I6" s="2" t="s">
        <v>4</v>
      </c>
      <c r="J6" s="14">
        <v>1.8688461179574398</v>
      </c>
      <c r="K6" s="14">
        <v>0.11645671284571857</v>
      </c>
      <c r="M6" s="2" t="s">
        <v>4</v>
      </c>
      <c r="N6" s="14">
        <v>1.7182126211223734</v>
      </c>
      <c r="O6" s="14">
        <v>0.10592367218474455</v>
      </c>
    </row>
    <row r="7" spans="1:15" ht="15" x14ac:dyDescent="0.25">
      <c r="A7" s="2" t="s">
        <v>5</v>
      </c>
      <c r="B7" s="14">
        <v>1.2125857812518712</v>
      </c>
      <c r="C7" s="14">
        <v>1.0115035030595418</v>
      </c>
      <c r="E7" s="2" t="s">
        <v>5</v>
      </c>
      <c r="F7" s="14">
        <v>1.2635292501998678</v>
      </c>
      <c r="G7" s="14">
        <v>1.0443362206897342</v>
      </c>
      <c r="I7" s="2" t="s">
        <v>5</v>
      </c>
      <c r="J7" s="14">
        <v>1.2870995509396386</v>
      </c>
      <c r="K7" s="14">
        <v>0.80065505073040244</v>
      </c>
      <c r="M7" s="2" t="s">
        <v>5</v>
      </c>
      <c r="N7" s="14">
        <v>1.2493304026646752</v>
      </c>
      <c r="O7" s="14">
        <v>1.0397493558239532</v>
      </c>
    </row>
    <row r="8" spans="1:15" ht="15" x14ac:dyDescent="0.25">
      <c r="A8" s="2" t="s">
        <v>6</v>
      </c>
      <c r="B8" s="14">
        <v>1.3523901082273602</v>
      </c>
      <c r="C8" s="14">
        <v>1.0995315901723965</v>
      </c>
      <c r="E8" s="2" t="s">
        <v>6</v>
      </c>
      <c r="F8" s="14">
        <v>1.3597965073013947</v>
      </c>
      <c r="G8" s="14">
        <v>1.4274983088173856</v>
      </c>
      <c r="I8" s="2" t="s">
        <v>6</v>
      </c>
      <c r="J8" s="14">
        <v>1.4121073643012536</v>
      </c>
      <c r="K8" s="14">
        <v>1.0206159660506362</v>
      </c>
      <c r="M8" s="2" t="s">
        <v>6</v>
      </c>
      <c r="N8" s="14">
        <v>1.4416254411205449</v>
      </c>
      <c r="O8" s="14">
        <v>1.1078842869084813</v>
      </c>
    </row>
    <row r="9" spans="1:15" ht="15" x14ac:dyDescent="0.25">
      <c r="A9" s="2" t="s">
        <v>7</v>
      </c>
      <c r="B9" s="14">
        <v>1.4251578782301457</v>
      </c>
      <c r="C9" s="14">
        <v>1.0116408495645179</v>
      </c>
      <c r="E9" s="2" t="s">
        <v>7</v>
      </c>
      <c r="F9" s="14">
        <v>1.3603189227485104</v>
      </c>
      <c r="G9" s="14">
        <v>1.0928485972527</v>
      </c>
      <c r="I9" s="2" t="s">
        <v>7</v>
      </c>
      <c r="J9" s="14">
        <v>1.4555092079362495</v>
      </c>
      <c r="K9" s="14">
        <v>1.0014022050165747</v>
      </c>
      <c r="M9" s="2" t="s">
        <v>7</v>
      </c>
      <c r="N9" s="14">
        <v>1.4535165441676492</v>
      </c>
      <c r="O9" s="14">
        <v>1.0287955408011296</v>
      </c>
    </row>
    <row r="10" spans="1:15" ht="15" x14ac:dyDescent="0.25">
      <c r="A10" s="2" t="s">
        <v>8</v>
      </c>
      <c r="B10" s="14">
        <v>1.5438170646726139</v>
      </c>
      <c r="C10" s="14">
        <v>0.51482089188689528</v>
      </c>
      <c r="E10" s="2" t="s">
        <v>8</v>
      </c>
      <c r="F10" s="14">
        <v>1.4474367069683352</v>
      </c>
      <c r="G10" s="14">
        <v>1.3493635966797803</v>
      </c>
      <c r="I10" s="2" t="s">
        <v>8</v>
      </c>
      <c r="J10" s="14">
        <v>1.4178374117180752</v>
      </c>
      <c r="K10" s="14">
        <v>1.3161894108625776</v>
      </c>
      <c r="M10" s="2" t="s">
        <v>8</v>
      </c>
      <c r="N10" s="14">
        <v>1.4911171032185488</v>
      </c>
      <c r="O10" s="14">
        <v>0.60391681346079362</v>
      </c>
    </row>
    <row r="11" spans="1:15" ht="15" x14ac:dyDescent="0.25">
      <c r="A11" s="2" t="s">
        <v>9</v>
      </c>
      <c r="B11" s="14">
        <v>1.2435475113866894</v>
      </c>
      <c r="C11" s="14">
        <v>0.20602284821328481</v>
      </c>
      <c r="E11" s="2" t="s">
        <v>9</v>
      </c>
      <c r="F11" s="14">
        <v>1.2165125329494189</v>
      </c>
      <c r="G11" s="14">
        <v>0.20419091396736178</v>
      </c>
      <c r="I11" s="2" t="s">
        <v>9</v>
      </c>
      <c r="J11" s="14">
        <v>1.2118263417008626</v>
      </c>
      <c r="K11" s="14">
        <v>0.17949713666337253</v>
      </c>
      <c r="M11" s="2" t="s">
        <v>9</v>
      </c>
      <c r="N11" s="14">
        <v>1.5667240447869961</v>
      </c>
      <c r="O11" s="14">
        <v>0.17431368157169846</v>
      </c>
    </row>
    <row r="12" spans="1:15" ht="15" x14ac:dyDescent="0.25">
      <c r="A12" s="2" t="s">
        <v>10</v>
      </c>
      <c r="B12" s="14">
        <v>1.8898064947981938</v>
      </c>
      <c r="C12" s="14">
        <v>0.2153080340526754</v>
      </c>
      <c r="E12" s="2" t="s">
        <v>10</v>
      </c>
      <c r="F12" s="14">
        <v>1.9748391765927447</v>
      </c>
      <c r="G12" s="14">
        <v>0.38462123305370821</v>
      </c>
      <c r="I12" s="2" t="s">
        <v>10</v>
      </c>
      <c r="J12" s="14">
        <v>2.1294377370941793</v>
      </c>
      <c r="K12" s="14">
        <v>0.2890854517811855</v>
      </c>
      <c r="M12" s="2" t="s">
        <v>10</v>
      </c>
      <c r="N12" s="14">
        <v>2.0778259821609635</v>
      </c>
      <c r="O12" s="14">
        <v>0.22752300599561376</v>
      </c>
    </row>
    <row r="13" spans="1:15" ht="15" x14ac:dyDescent="0.25">
      <c r="A13" s="2" t="s">
        <v>11</v>
      </c>
      <c r="B13" s="14">
        <v>1.4009356348664428</v>
      </c>
      <c r="C13" s="14">
        <v>0.75566868284524036</v>
      </c>
      <c r="E13" s="2" t="s">
        <v>11</v>
      </c>
      <c r="F13" s="14">
        <v>1.3844591453395794</v>
      </c>
      <c r="G13" s="14">
        <v>1.0930160867623866</v>
      </c>
      <c r="I13" s="2" t="s">
        <v>11</v>
      </c>
      <c r="J13" s="14">
        <v>1.392886077319839</v>
      </c>
      <c r="K13" s="14">
        <v>1.0245798798560986</v>
      </c>
      <c r="M13" s="2" t="s">
        <v>11</v>
      </c>
      <c r="N13" s="14">
        <v>1.2330712045203434</v>
      </c>
      <c r="O13" s="14">
        <v>0.74225663186362545</v>
      </c>
    </row>
    <row r="14" spans="1:15" ht="15" x14ac:dyDescent="0.25">
      <c r="A14" s="2" t="s">
        <v>12</v>
      </c>
      <c r="B14" s="14">
        <v>1.1830765065998137</v>
      </c>
      <c r="C14" s="14">
        <v>0.24213570231270642</v>
      </c>
      <c r="E14" s="2" t="s">
        <v>12</v>
      </c>
      <c r="F14" s="14">
        <v>1.0913513193359881</v>
      </c>
      <c r="G14" s="14">
        <v>0.16330598373711436</v>
      </c>
      <c r="I14" s="2" t="s">
        <v>12</v>
      </c>
      <c r="J14" s="14">
        <v>1.072659360408232</v>
      </c>
      <c r="K14" s="14">
        <v>0.19510842238600368</v>
      </c>
      <c r="M14" s="2" t="s">
        <v>12</v>
      </c>
      <c r="N14" s="14">
        <v>1.4206280582449111</v>
      </c>
      <c r="O14" s="14">
        <v>0.15727991676982336</v>
      </c>
    </row>
    <row r="15" spans="1:15" ht="15" x14ac:dyDescent="0.25">
      <c r="A15" s="2" t="s">
        <v>13</v>
      </c>
      <c r="B15" s="14">
        <v>1.1883025363877882</v>
      </c>
      <c r="C15" s="14">
        <v>0.31397336068603121</v>
      </c>
      <c r="E15" s="2" t="s">
        <v>13</v>
      </c>
      <c r="F15" s="14">
        <v>1.1532060682964953</v>
      </c>
      <c r="G15" s="14">
        <v>0.40937787373036905</v>
      </c>
      <c r="I15" s="2" t="s">
        <v>13</v>
      </c>
      <c r="J15" s="14">
        <v>0.99173802636463215</v>
      </c>
      <c r="K15" s="14">
        <v>0.47015986247927244</v>
      </c>
      <c r="M15" s="2" t="s">
        <v>13</v>
      </c>
      <c r="N15" s="14">
        <v>1.2167128010307608</v>
      </c>
      <c r="O15" s="14">
        <v>0.39874249474123896</v>
      </c>
    </row>
    <row r="16" spans="1:15" ht="15" x14ac:dyDescent="0.25">
      <c r="A16" s="2" t="s">
        <v>14</v>
      </c>
      <c r="B16" s="14">
        <v>1.18720738984359</v>
      </c>
      <c r="C16" s="14">
        <v>0.5918621447300052</v>
      </c>
      <c r="E16" s="2" t="s">
        <v>14</v>
      </c>
      <c r="F16" s="14">
        <v>1.1422512417988462</v>
      </c>
      <c r="G16" s="14">
        <v>1.0541826156376826</v>
      </c>
      <c r="I16" s="2" t="s">
        <v>14</v>
      </c>
      <c r="J16" s="14">
        <v>1.2276986574293005</v>
      </c>
      <c r="K16" s="14">
        <v>0.56251845630511588</v>
      </c>
      <c r="M16" s="2" t="s">
        <v>14</v>
      </c>
      <c r="N16" s="14">
        <v>1.9051733160510556</v>
      </c>
      <c r="O16" s="14">
        <v>0.29606657117574475</v>
      </c>
    </row>
    <row r="17" spans="1:15" ht="15" x14ac:dyDescent="0.25">
      <c r="A17" s="2" t="s">
        <v>15</v>
      </c>
      <c r="B17" s="14">
        <v>1.3775710760204627</v>
      </c>
      <c r="C17" s="14">
        <v>1.0392622401107594</v>
      </c>
      <c r="E17" s="2" t="s">
        <v>15</v>
      </c>
      <c r="F17" s="14">
        <v>1.3755893341351153</v>
      </c>
      <c r="G17" s="14">
        <v>1.0418445211936813</v>
      </c>
      <c r="I17" s="2" t="s">
        <v>15</v>
      </c>
      <c r="J17" s="14">
        <v>1.4919840440091028</v>
      </c>
      <c r="K17" s="14">
        <v>1.0849310639264771</v>
      </c>
      <c r="M17" s="2" t="s">
        <v>15</v>
      </c>
      <c r="N17" s="14">
        <v>1.1508650698945091</v>
      </c>
      <c r="O17" s="14">
        <v>1.0393322321039291</v>
      </c>
    </row>
    <row r="18" spans="1:15" ht="15" x14ac:dyDescent="0.25">
      <c r="A18" s="2" t="s">
        <v>16</v>
      </c>
      <c r="B18" s="14">
        <v>1.2114804659265126</v>
      </c>
      <c r="C18" s="14">
        <v>0.31602221892462518</v>
      </c>
      <c r="E18" s="2" t="s">
        <v>16</v>
      </c>
      <c r="F18" s="14">
        <v>1.222464012312197</v>
      </c>
      <c r="G18" s="14">
        <v>0.31618639457823988</v>
      </c>
      <c r="I18" s="2" t="s">
        <v>16</v>
      </c>
      <c r="J18" s="14">
        <v>1.3704146094434366</v>
      </c>
      <c r="K18" s="14">
        <v>0.23603357334082486</v>
      </c>
      <c r="M18" s="2" t="s">
        <v>16</v>
      </c>
      <c r="N18" s="14">
        <v>1.5049637546552284</v>
      </c>
      <c r="O18" s="14">
        <v>0.24862234706236697</v>
      </c>
    </row>
    <row r="19" spans="1:15" ht="15" x14ac:dyDescent="0.25">
      <c r="A19" s="2" t="s">
        <v>17</v>
      </c>
      <c r="B19" s="14">
        <v>1.4916875810585302</v>
      </c>
      <c r="C19" s="14">
        <v>0.4600272529127481</v>
      </c>
      <c r="E19" s="2" t="s">
        <v>17</v>
      </c>
      <c r="F19" s="14">
        <v>1.2707073941759615</v>
      </c>
      <c r="G19" s="14">
        <v>1.2772732648056699</v>
      </c>
      <c r="I19" s="2" t="s">
        <v>17</v>
      </c>
      <c r="J19" s="14">
        <v>1.2360426657323835</v>
      </c>
      <c r="K19" s="14">
        <v>1.0490095529693344</v>
      </c>
      <c r="M19" s="2" t="s">
        <v>17</v>
      </c>
      <c r="N19" s="14">
        <v>1.4310424852470898</v>
      </c>
      <c r="O19" s="14">
        <v>1.1343572413991012</v>
      </c>
    </row>
    <row r="20" spans="1:15" ht="15" x14ac:dyDescent="0.25">
      <c r="A20" s="2" t="s">
        <v>18</v>
      </c>
      <c r="B20" s="14">
        <v>1.7693607406474801</v>
      </c>
      <c r="C20" s="14">
        <v>1.493234334935744</v>
      </c>
      <c r="E20" s="2" t="s">
        <v>18</v>
      </c>
      <c r="F20" s="14">
        <v>1.78432903716117</v>
      </c>
      <c r="G20" s="14">
        <v>1.0186096894525514</v>
      </c>
      <c r="I20" s="2" t="s">
        <v>18</v>
      </c>
      <c r="J20" s="14">
        <v>1.9185002251849157</v>
      </c>
      <c r="K20" s="14">
        <v>1.1078982272219517</v>
      </c>
      <c r="M20" s="2" t="s">
        <v>18</v>
      </c>
      <c r="N20" s="14">
        <v>1.8440479435857964</v>
      </c>
      <c r="O20" s="14">
        <v>1.1807344132618818</v>
      </c>
    </row>
    <row r="21" spans="1:15" ht="15" x14ac:dyDescent="0.25">
      <c r="A21" s="2" t="s">
        <v>19</v>
      </c>
      <c r="B21" s="14">
        <v>1.7034063597003573</v>
      </c>
      <c r="C21" s="14">
        <v>0.35949994877499375</v>
      </c>
      <c r="E21" s="2" t="s">
        <v>19</v>
      </c>
      <c r="F21" s="14">
        <v>1.4945793000106538</v>
      </c>
      <c r="G21" s="14">
        <v>1.1018892152322539</v>
      </c>
      <c r="I21" s="2" t="s">
        <v>19</v>
      </c>
      <c r="J21" s="14">
        <v>1.4239374734151744</v>
      </c>
      <c r="K21" s="14">
        <v>0.68163338635911652</v>
      </c>
      <c r="M21" s="2" t="s">
        <v>19</v>
      </c>
      <c r="N21" s="14">
        <v>1.5713844409992992</v>
      </c>
      <c r="O21" s="14">
        <v>0.68369183602911776</v>
      </c>
    </row>
    <row r="22" spans="1:15" ht="15" x14ac:dyDescent="0.25">
      <c r="A22" s="2" t="s">
        <v>20</v>
      </c>
      <c r="B22" s="14">
        <v>0.80737999376543224</v>
      </c>
      <c r="C22" s="14">
        <v>1.1782837566374684</v>
      </c>
      <c r="E22" s="2" t="s">
        <v>20</v>
      </c>
      <c r="F22" s="14">
        <v>0.77499038193192527</v>
      </c>
      <c r="G22" s="14">
        <v>1.358360521144069</v>
      </c>
      <c r="I22" s="2" t="s">
        <v>20</v>
      </c>
      <c r="J22" s="14">
        <v>3.2143802321290935</v>
      </c>
      <c r="K22" s="14">
        <v>1.0059299683534917</v>
      </c>
      <c r="M22" s="2" t="s">
        <v>20</v>
      </c>
      <c r="N22" s="14">
        <v>3.1640025080030489</v>
      </c>
      <c r="O22" s="14">
        <v>1.1367127796709098</v>
      </c>
    </row>
    <row r="23" spans="1:15" ht="15" x14ac:dyDescent="0.25">
      <c r="A23" s="2" t="s">
        <v>21</v>
      </c>
      <c r="B23" s="14">
        <v>1.8632191726930278</v>
      </c>
      <c r="C23" s="14">
        <v>1.1212963158843492</v>
      </c>
      <c r="E23" s="2" t="s">
        <v>21</v>
      </c>
      <c r="F23" s="14">
        <v>2.0419991207156132</v>
      </c>
      <c r="G23" s="14">
        <v>1.6770938886828621</v>
      </c>
      <c r="I23" s="2" t="s">
        <v>21</v>
      </c>
      <c r="J23" s="14">
        <v>1.9200874351520405</v>
      </c>
      <c r="K23" s="14">
        <v>1.0026424828678644</v>
      </c>
      <c r="M23" s="2" t="s">
        <v>21</v>
      </c>
      <c r="N23" s="14">
        <v>1.9085968408030987</v>
      </c>
      <c r="O23" s="14">
        <v>1.029978826116368</v>
      </c>
    </row>
    <row r="24" spans="1:15" ht="15" x14ac:dyDescent="0.25">
      <c r="A24" s="2" t="s">
        <v>22</v>
      </c>
      <c r="B24" s="14">
        <v>1.1408115396307079</v>
      </c>
      <c r="C24" s="14">
        <v>1.0072759176475281</v>
      </c>
      <c r="E24" s="2" t="s">
        <v>22</v>
      </c>
      <c r="F24" s="14">
        <v>1.1251272286826921</v>
      </c>
      <c r="G24" s="14">
        <v>1.0765017039618299</v>
      </c>
      <c r="I24" s="2" t="s">
        <v>22</v>
      </c>
      <c r="J24" s="14">
        <v>1.1215906625683201</v>
      </c>
      <c r="K24" s="14">
        <v>0.70798042844669995</v>
      </c>
      <c r="M24" s="2" t="s">
        <v>22</v>
      </c>
      <c r="N24" s="14">
        <v>1.1810985906636184</v>
      </c>
      <c r="O24" s="14">
        <v>1.1349898196041093</v>
      </c>
    </row>
    <row r="25" spans="1:15" ht="15" x14ac:dyDescent="0.25">
      <c r="A25" s="2" t="s">
        <v>23</v>
      </c>
      <c r="B25" s="14">
        <v>1.6270153033866761</v>
      </c>
      <c r="C25" s="14">
        <v>5.5998940003121299E-2</v>
      </c>
      <c r="E25" s="2" t="s">
        <v>23</v>
      </c>
      <c r="F25" s="14">
        <v>1.5922596880141473</v>
      </c>
      <c r="G25" s="14">
        <v>6.1712335929849482E-2</v>
      </c>
      <c r="I25" s="2" t="s">
        <v>23</v>
      </c>
      <c r="J25" s="14">
        <v>1.5480926975124951</v>
      </c>
      <c r="K25" s="14">
        <v>8.2056755435756523E-2</v>
      </c>
      <c r="M25" s="2" t="s">
        <v>23</v>
      </c>
      <c r="N25" s="14">
        <v>1.4675647460990664</v>
      </c>
      <c r="O25" s="14">
        <v>0.12346201921480582</v>
      </c>
    </row>
    <row r="26" spans="1:15" ht="15" x14ac:dyDescent="0.25">
      <c r="A26" s="2" t="s">
        <v>24</v>
      </c>
      <c r="B26" s="14">
        <v>1.2349532929185079</v>
      </c>
      <c r="C26" s="14">
        <v>0.3669078831816186</v>
      </c>
      <c r="E26" s="2" t="s">
        <v>24</v>
      </c>
      <c r="F26" s="14">
        <v>1.1721493470348823</v>
      </c>
      <c r="G26" s="14">
        <v>0.3797112824042802</v>
      </c>
      <c r="I26" s="2" t="s">
        <v>24</v>
      </c>
      <c r="J26" s="14">
        <v>1.1512555638880058</v>
      </c>
      <c r="K26" s="14">
        <v>0.34105417429100487</v>
      </c>
      <c r="M26" s="2" t="s">
        <v>24</v>
      </c>
      <c r="N26" s="14">
        <v>1.1837581133977937</v>
      </c>
      <c r="O26" s="14">
        <v>0.15526200296658818</v>
      </c>
    </row>
    <row r="27" spans="1:15" ht="15" x14ac:dyDescent="0.25">
      <c r="A27" s="2" t="s">
        <v>25</v>
      </c>
      <c r="B27" s="14">
        <v>2.1474705544409156</v>
      </c>
      <c r="C27" s="14">
        <v>0.37582620366087155</v>
      </c>
      <c r="E27" s="2" t="s">
        <v>25</v>
      </c>
      <c r="F27" s="14">
        <v>2.0931656814346762</v>
      </c>
      <c r="G27" s="14">
        <v>0.42692282501687262</v>
      </c>
      <c r="I27" s="2" t="s">
        <v>25</v>
      </c>
      <c r="J27" s="14">
        <v>2.1365546034369083</v>
      </c>
      <c r="K27" s="14">
        <v>0.43422232314060888</v>
      </c>
      <c r="M27" s="2" t="s">
        <v>25</v>
      </c>
      <c r="N27" s="14">
        <v>2.1342153902805645</v>
      </c>
      <c r="O27" s="14">
        <v>0.38183511416520044</v>
      </c>
    </row>
    <row r="28" spans="1:15" ht="15" x14ac:dyDescent="0.25">
      <c r="A28" s="2" t="s">
        <v>26</v>
      </c>
      <c r="B28" s="14">
        <v>1.7771595354174843</v>
      </c>
      <c r="C28" s="14">
        <v>1.1957484946699835</v>
      </c>
      <c r="E28" s="2" t="s">
        <v>26</v>
      </c>
      <c r="F28" s="14">
        <v>1.74876019035729</v>
      </c>
      <c r="G28" s="14">
        <v>0.26993556035540817</v>
      </c>
      <c r="I28" s="2" t="s">
        <v>26</v>
      </c>
      <c r="J28" s="14">
        <v>1.6725671070937103</v>
      </c>
      <c r="K28" s="14">
        <v>0.26637741201675352</v>
      </c>
      <c r="M28" s="2" t="s">
        <v>26</v>
      </c>
      <c r="N28" s="14">
        <v>2.1527202394124094</v>
      </c>
      <c r="O28" s="14">
        <v>0.2380697692782251</v>
      </c>
    </row>
    <row r="29" spans="1:15" ht="15" x14ac:dyDescent="0.25">
      <c r="A29" s="2" t="s">
        <v>27</v>
      </c>
      <c r="B29" s="14">
        <v>1.3056266834884798</v>
      </c>
      <c r="C29" s="14">
        <v>0.54873726038342918</v>
      </c>
      <c r="E29" s="2" t="s">
        <v>27</v>
      </c>
      <c r="F29" s="14">
        <v>1.296533276601626</v>
      </c>
      <c r="G29" s="14">
        <v>0.54861162002119568</v>
      </c>
      <c r="I29" s="2" t="s">
        <v>27</v>
      </c>
      <c r="J29" s="14">
        <v>1.2602898889592626</v>
      </c>
      <c r="K29" s="14">
        <v>0.55044517276742011</v>
      </c>
      <c r="M29" s="2" t="s">
        <v>27</v>
      </c>
      <c r="N29" s="14">
        <v>1.5612483403234747</v>
      </c>
      <c r="O29" s="14">
        <v>0.52081318494689832</v>
      </c>
    </row>
    <row r="30" spans="1:15" ht="15" x14ac:dyDescent="0.25">
      <c r="A30" s="2" t="s">
        <v>77</v>
      </c>
      <c r="B30" s="14">
        <v>1.3742306582238961</v>
      </c>
      <c r="C30" s="14">
        <v>1.1646747477393948</v>
      </c>
      <c r="E30" s="2" t="s">
        <v>77</v>
      </c>
      <c r="F30" s="14">
        <v>1.3740943738528009</v>
      </c>
      <c r="G30" s="14">
        <v>1.0037244484085934</v>
      </c>
      <c r="I30" s="2" t="s">
        <v>77</v>
      </c>
      <c r="J30" s="14">
        <v>1.384471272882974</v>
      </c>
      <c r="K30" s="14">
        <v>1.0368012653110275</v>
      </c>
      <c r="M30" s="2" t="s">
        <v>77</v>
      </c>
      <c r="N30" s="14">
        <v>1.2905801111667545</v>
      </c>
      <c r="O30" s="14">
        <v>1.0015959580054328</v>
      </c>
    </row>
    <row r="31" spans="1:15" ht="15" x14ac:dyDescent="0.25">
      <c r="A31" s="2" t="s">
        <v>29</v>
      </c>
      <c r="B31" s="14">
        <v>1.5873171239880679</v>
      </c>
      <c r="C31" s="14">
        <v>1.2945155089913718</v>
      </c>
      <c r="E31" s="2" t="s">
        <v>29</v>
      </c>
      <c r="F31" s="14">
        <v>1.5183071042008214</v>
      </c>
      <c r="G31" s="14">
        <v>1.5482916002298794</v>
      </c>
      <c r="I31" s="2" t="s">
        <v>29</v>
      </c>
      <c r="J31" s="14">
        <v>1.6232623307761285</v>
      </c>
      <c r="K31" s="14">
        <v>1.4816047587002927</v>
      </c>
      <c r="M31" s="2" t="s">
        <v>29</v>
      </c>
      <c r="N31" s="14">
        <v>1.626451462185545</v>
      </c>
      <c r="O31" s="14">
        <v>1.5288274120519263</v>
      </c>
    </row>
    <row r="32" spans="1:15" ht="15" x14ac:dyDescent="0.25">
      <c r="A32" s="2" t="s">
        <v>30</v>
      </c>
      <c r="B32" s="14">
        <v>1.468691414594689</v>
      </c>
      <c r="C32" s="14">
        <v>0.16063157962554508</v>
      </c>
      <c r="E32" s="2" t="s">
        <v>30</v>
      </c>
      <c r="F32" s="14">
        <v>1.4802512681543034</v>
      </c>
      <c r="G32" s="14">
        <v>0.16799531495157005</v>
      </c>
      <c r="I32" s="2" t="s">
        <v>30</v>
      </c>
      <c r="J32" s="14">
        <v>1.5233718821478872</v>
      </c>
      <c r="K32" s="14">
        <v>0.17015333554336209</v>
      </c>
      <c r="M32" s="2" t="s">
        <v>30</v>
      </c>
      <c r="N32" s="14">
        <v>1.4824047417025752</v>
      </c>
      <c r="O32" s="14">
        <v>0.18190709544780981</v>
      </c>
    </row>
    <row r="33" spans="1:15" ht="15" x14ac:dyDescent="0.25">
      <c r="A33" s="2" t="s">
        <v>31</v>
      </c>
      <c r="B33" s="14">
        <v>0.75644182885274114</v>
      </c>
      <c r="C33" s="14">
        <v>1.1020294309316077</v>
      </c>
      <c r="E33" s="2" t="s">
        <v>31</v>
      </c>
      <c r="F33" s="14">
        <v>0.69685339485708331</v>
      </c>
      <c r="G33" s="14">
        <v>1.5</v>
      </c>
      <c r="I33" s="2" t="s">
        <v>31</v>
      </c>
      <c r="J33" s="14">
        <v>0.68502740098279613</v>
      </c>
      <c r="K33" s="14">
        <v>1.6375587046255555</v>
      </c>
      <c r="M33" s="2" t="s">
        <v>31</v>
      </c>
      <c r="N33" s="14">
        <v>0.66720659057671583</v>
      </c>
      <c r="O33" s="14">
        <v>1.9031165444327001</v>
      </c>
    </row>
    <row r="34" spans="1:15" ht="15" x14ac:dyDescent="0.25">
      <c r="A34" s="2" t="s">
        <v>32</v>
      </c>
      <c r="B34" s="14">
        <v>1.4584222522195398</v>
      </c>
      <c r="C34" s="14">
        <v>1.0730878057680251</v>
      </c>
      <c r="E34" s="2" t="s">
        <v>32</v>
      </c>
      <c r="F34" s="14">
        <v>1.2969880333958674</v>
      </c>
      <c r="G34" s="14">
        <v>1.1832027634259963</v>
      </c>
      <c r="I34" s="2" t="s">
        <v>32</v>
      </c>
      <c r="J34" s="14">
        <v>1.2704831459529007</v>
      </c>
      <c r="K34" s="14">
        <v>1.0060251518903343</v>
      </c>
      <c r="M34" s="2" t="s">
        <v>32</v>
      </c>
      <c r="N34" s="14">
        <v>1.2579831036973042</v>
      </c>
      <c r="O34" s="14">
        <v>1.0652018823924654</v>
      </c>
    </row>
    <row r="35" spans="1:15" ht="15" x14ac:dyDescent="0.25">
      <c r="A35" s="2" t="s">
        <v>33</v>
      </c>
      <c r="B35" s="14">
        <v>1.0027921141852143</v>
      </c>
      <c r="C35" s="14">
        <v>0.29344558582852026</v>
      </c>
      <c r="E35" s="2" t="s">
        <v>33</v>
      </c>
      <c r="F35" s="14">
        <v>1.0570449827425037</v>
      </c>
      <c r="G35" s="14">
        <v>0.32127033763501367</v>
      </c>
      <c r="I35" s="2" t="s">
        <v>33</v>
      </c>
      <c r="J35" s="14">
        <v>1.0429904292849903</v>
      </c>
      <c r="K35" s="14">
        <v>0.27174747108297154</v>
      </c>
      <c r="M35" s="2" t="s">
        <v>33</v>
      </c>
      <c r="N35" s="14">
        <v>1.0071451962638023</v>
      </c>
      <c r="O35" s="14">
        <v>0.28120418650138951</v>
      </c>
    </row>
    <row r="36" spans="1:15" ht="15" x14ac:dyDescent="0.25">
      <c r="A36" s="2" t="s">
        <v>34</v>
      </c>
      <c r="B36" s="14">
        <v>0.88283767659934609</v>
      </c>
      <c r="C36" s="14">
        <v>1.4007621028843502</v>
      </c>
      <c r="E36" s="2" t="s">
        <v>34</v>
      </c>
      <c r="F36" s="14">
        <v>0.80275668166617009</v>
      </c>
      <c r="G36" s="14">
        <v>1.8064664500678993</v>
      </c>
      <c r="I36" s="2" t="s">
        <v>34</v>
      </c>
      <c r="J36" s="14">
        <v>0.76228228583217694</v>
      </c>
      <c r="K36" s="14">
        <v>1.8119336540608981</v>
      </c>
      <c r="M36" s="2" t="s">
        <v>34</v>
      </c>
      <c r="N36" s="14">
        <v>0.7536548910787384</v>
      </c>
      <c r="O36" s="14">
        <v>1.8119960159787831</v>
      </c>
    </row>
    <row r="37" spans="1:15" ht="15" x14ac:dyDescent="0.25">
      <c r="A37" s="2" t="s">
        <v>35</v>
      </c>
      <c r="B37" s="14">
        <v>0.83725134513753607</v>
      </c>
      <c r="C37" s="14">
        <v>0.29795546420107316</v>
      </c>
      <c r="E37" s="2" t="s">
        <v>35</v>
      </c>
      <c r="F37" s="14">
        <v>0.84607710078615261</v>
      </c>
      <c r="G37" s="14">
        <v>0.57790994942427132</v>
      </c>
      <c r="I37" s="2" t="s">
        <v>35</v>
      </c>
      <c r="J37" s="14">
        <v>0.83203253251478115</v>
      </c>
      <c r="K37" s="14">
        <v>0.49363249950481025</v>
      </c>
      <c r="M37" s="2" t="s">
        <v>35</v>
      </c>
      <c r="N37" s="14">
        <v>0.71255536266903674</v>
      </c>
      <c r="O37" s="14">
        <v>0.60610515703040335</v>
      </c>
    </row>
    <row r="38" spans="1:15" ht="15" x14ac:dyDescent="0.25">
      <c r="A38" s="2" t="s">
        <v>36</v>
      </c>
      <c r="B38" s="14">
        <v>1.6696754469100945</v>
      </c>
      <c r="C38" s="14">
        <v>0.13905168500955567</v>
      </c>
      <c r="E38" s="2" t="s">
        <v>36</v>
      </c>
      <c r="F38" s="14">
        <v>1.4166777364508869</v>
      </c>
      <c r="G38" s="14">
        <v>0.31032582178420109</v>
      </c>
      <c r="I38" s="2" t="s">
        <v>36</v>
      </c>
      <c r="J38" s="14">
        <v>1.3693185124170049</v>
      </c>
      <c r="K38" s="14">
        <v>0.1716492420582427</v>
      </c>
      <c r="M38" s="2" t="s">
        <v>36</v>
      </c>
      <c r="N38" s="14">
        <v>1.418420853671323</v>
      </c>
      <c r="O38" s="14">
        <v>0.19223675881906338</v>
      </c>
    </row>
    <row r="39" spans="1:15" ht="15" x14ac:dyDescent="0.25">
      <c r="A39" s="2" t="s">
        <v>37</v>
      </c>
      <c r="B39" s="14">
        <v>2.1744351483198736</v>
      </c>
      <c r="C39" s="14">
        <v>0.57647989476808303</v>
      </c>
      <c r="E39" s="2" t="s">
        <v>37</v>
      </c>
      <c r="F39" s="14">
        <v>2.0719166537801761</v>
      </c>
      <c r="G39" s="14">
        <v>1.2063711417738063</v>
      </c>
      <c r="I39" s="2" t="s">
        <v>37</v>
      </c>
      <c r="J39" s="14">
        <v>1.9555033662782746</v>
      </c>
      <c r="K39" s="14">
        <v>0.73304436345026847</v>
      </c>
      <c r="M39" s="2" t="s">
        <v>37</v>
      </c>
      <c r="N39" s="14">
        <v>1.6000040138941742</v>
      </c>
      <c r="O39" s="14">
        <v>1.2679376801931332</v>
      </c>
    </row>
    <row r="40" spans="1:15" ht="15" x14ac:dyDescent="0.25">
      <c r="A40" s="2" t="s">
        <v>38</v>
      </c>
      <c r="B40" s="14">
        <v>1.2711344441121057</v>
      </c>
      <c r="C40" s="14">
        <v>0.64193318317897718</v>
      </c>
      <c r="E40" s="2" t="s">
        <v>38</v>
      </c>
      <c r="F40" s="14">
        <v>1.2809353194471271</v>
      </c>
      <c r="G40" s="14">
        <v>0.63745133281140232</v>
      </c>
      <c r="I40" s="2" t="s">
        <v>38</v>
      </c>
      <c r="J40" s="14">
        <v>1.3920979236293491</v>
      </c>
      <c r="K40" s="14">
        <v>0.46513085856622838</v>
      </c>
      <c r="M40" s="2" t="s">
        <v>38</v>
      </c>
      <c r="N40" s="14">
        <v>0.94542986308074095</v>
      </c>
      <c r="O40" s="14">
        <v>1.0954077293171738</v>
      </c>
    </row>
    <row r="41" spans="1:15" ht="15" x14ac:dyDescent="0.25">
      <c r="A41" s="2" t="s">
        <v>39</v>
      </c>
      <c r="B41" s="14">
        <v>1.7302244809094707</v>
      </c>
      <c r="C41" s="14">
        <v>0.26610042235020853</v>
      </c>
      <c r="E41" s="2" t="s">
        <v>39</v>
      </c>
      <c r="F41" s="14">
        <v>1.7113801419800951</v>
      </c>
      <c r="G41" s="14">
        <v>0.22057162854905046</v>
      </c>
      <c r="I41" s="2" t="s">
        <v>39</v>
      </c>
      <c r="J41" s="14">
        <v>1.7208342089389792</v>
      </c>
      <c r="K41" s="14">
        <v>0.24788167716584725</v>
      </c>
      <c r="M41" s="2" t="s">
        <v>39</v>
      </c>
      <c r="N41" s="14">
        <v>1.8254770827209186</v>
      </c>
      <c r="O41" s="14">
        <v>0.24717213734520185</v>
      </c>
    </row>
    <row r="42" spans="1:15" ht="15" x14ac:dyDescent="0.25">
      <c r="A42" s="2" t="s">
        <v>40</v>
      </c>
      <c r="B42" s="14">
        <v>1.2402203501395574</v>
      </c>
      <c r="C42" s="14">
        <v>0.20174614372866456</v>
      </c>
      <c r="E42" s="2" t="s">
        <v>40</v>
      </c>
      <c r="F42" s="14">
        <v>1.2711980068481761</v>
      </c>
      <c r="G42" s="14">
        <v>0.21884306447415447</v>
      </c>
      <c r="I42" s="2" t="s">
        <v>40</v>
      </c>
      <c r="J42" s="14">
        <v>1.2158669811831395</v>
      </c>
      <c r="K42" s="14">
        <v>0.23217330641633427</v>
      </c>
      <c r="M42" s="2" t="s">
        <v>40</v>
      </c>
      <c r="N42" s="14">
        <v>1.2068593611953524</v>
      </c>
      <c r="O42" s="14">
        <v>0.29963363477380883</v>
      </c>
    </row>
    <row r="43" spans="1:15" ht="15" x14ac:dyDescent="0.25">
      <c r="A43" s="2" t="s">
        <v>41</v>
      </c>
      <c r="B43" s="14">
        <v>2.4954973006973882</v>
      </c>
      <c r="C43" s="14">
        <v>0.10963248938109996</v>
      </c>
      <c r="E43" s="2" t="s">
        <v>41</v>
      </c>
      <c r="F43" s="14">
        <v>2.5971793087141481</v>
      </c>
      <c r="G43" s="14">
        <v>0.16009807102105167</v>
      </c>
      <c r="I43" s="2" t="s">
        <v>41</v>
      </c>
      <c r="J43" s="14">
        <v>2.6817227116038302</v>
      </c>
      <c r="K43" s="14">
        <v>0.1681928865298073</v>
      </c>
      <c r="M43" s="2" t="s">
        <v>41</v>
      </c>
      <c r="N43" s="14">
        <v>2.340764690552724</v>
      </c>
      <c r="O43" s="14">
        <v>0.17153744314574704</v>
      </c>
    </row>
    <row r="44" spans="1:15" ht="15" x14ac:dyDescent="0.25">
      <c r="A44" s="2" t="s">
        <v>42</v>
      </c>
      <c r="B44" s="14">
        <v>1.1040578400771277</v>
      </c>
      <c r="C44" s="14">
        <v>0.45188575861998909</v>
      </c>
      <c r="E44" s="2" t="s">
        <v>42</v>
      </c>
      <c r="F44" s="14">
        <v>1.0357974354131143</v>
      </c>
      <c r="G44" s="14">
        <v>0.54564394625300261</v>
      </c>
      <c r="I44" s="2" t="s">
        <v>42</v>
      </c>
      <c r="J44" s="14">
        <v>1.0319013426830956</v>
      </c>
      <c r="K44" s="14">
        <v>0.560460916550241</v>
      </c>
      <c r="M44" s="2" t="s">
        <v>42</v>
      </c>
      <c r="N44" s="14">
        <v>0.97558935869782071</v>
      </c>
      <c r="O44" s="14">
        <v>0.48514735134193915</v>
      </c>
    </row>
    <row r="45" spans="1:15" ht="15" x14ac:dyDescent="0.25">
      <c r="A45" s="2" t="s">
        <v>43</v>
      </c>
      <c r="B45" s="14">
        <v>2.2412540445990192</v>
      </c>
      <c r="C45" s="14">
        <v>0.15001540013519302</v>
      </c>
      <c r="E45" s="2" t="s">
        <v>43</v>
      </c>
      <c r="F45" s="14">
        <v>2.0008998081897666</v>
      </c>
      <c r="G45" s="14">
        <v>0.14365803816675915</v>
      </c>
      <c r="I45" s="2" t="s">
        <v>43</v>
      </c>
      <c r="J45" s="14">
        <v>2.1011907510027559</v>
      </c>
      <c r="K45" s="14">
        <v>0.1491546990352558</v>
      </c>
      <c r="M45" s="2" t="s">
        <v>43</v>
      </c>
      <c r="N45" s="14">
        <v>1.9759748085423481</v>
      </c>
      <c r="O45" s="14">
        <v>0.16519591625618779</v>
      </c>
    </row>
    <row r="46" spans="1:15" ht="15" x14ac:dyDescent="0.2">
      <c r="A46" s="4" t="s">
        <v>44</v>
      </c>
      <c r="B46" s="14">
        <v>1.104048602154946</v>
      </c>
      <c r="C46" s="14">
        <v>0.42316391978303092</v>
      </c>
      <c r="E46" s="4" t="s">
        <v>44</v>
      </c>
      <c r="F46" s="14">
        <v>1.0265502424727624</v>
      </c>
      <c r="G46" s="14">
        <v>0.35463559252084109</v>
      </c>
      <c r="I46" s="4" t="s">
        <v>44</v>
      </c>
      <c r="J46" s="14">
        <v>0.9700216275368726</v>
      </c>
      <c r="K46" s="14">
        <v>0.54205288171000676</v>
      </c>
      <c r="M46" s="4" t="s">
        <v>44</v>
      </c>
      <c r="N46" s="14">
        <v>0.91591168265279443</v>
      </c>
      <c r="O46" s="14">
        <v>0.43</v>
      </c>
    </row>
    <row r="47" spans="1:15" ht="15" x14ac:dyDescent="0.2">
      <c r="A47" s="4" t="s">
        <v>45</v>
      </c>
      <c r="B47" s="14">
        <v>1.1269234103034023</v>
      </c>
      <c r="C47" s="14">
        <v>0.23276633675228908</v>
      </c>
      <c r="E47" s="4" t="s">
        <v>45</v>
      </c>
      <c r="F47" s="14">
        <v>1.1438979523487367</v>
      </c>
      <c r="G47" s="14">
        <v>0.2074210586123274</v>
      </c>
      <c r="I47" s="4" t="s">
        <v>45</v>
      </c>
      <c r="J47" s="14">
        <v>1.1850058193977873</v>
      </c>
      <c r="K47" s="14">
        <v>0.28511594421635927</v>
      </c>
      <c r="M47" s="4" t="s">
        <v>45</v>
      </c>
      <c r="N47" s="14">
        <v>1.2228386963192479</v>
      </c>
      <c r="O47" s="14">
        <v>0.22887521885847234</v>
      </c>
    </row>
    <row r="48" spans="1:15" ht="15" x14ac:dyDescent="0.2">
      <c r="A48" s="4" t="s">
        <v>46</v>
      </c>
      <c r="B48" s="14">
        <v>1.0775365345031922</v>
      </c>
      <c r="C48" s="14">
        <v>1.0672091017644203</v>
      </c>
      <c r="E48" s="4" t="s">
        <v>46</v>
      </c>
      <c r="F48" s="14">
        <v>1.1339784982506722</v>
      </c>
      <c r="G48" s="14">
        <v>1.0496532568630115</v>
      </c>
      <c r="I48" s="4" t="s">
        <v>46</v>
      </c>
      <c r="J48" s="14">
        <v>1.0409630913825847</v>
      </c>
      <c r="K48" s="14">
        <v>1.0666887358708748</v>
      </c>
      <c r="M48" s="4" t="s">
        <v>46</v>
      </c>
      <c r="N48" s="14">
        <v>1.1794397915715138</v>
      </c>
      <c r="O48" s="14">
        <v>1.0150220895562279</v>
      </c>
    </row>
    <row r="49" spans="1:15" ht="15" x14ac:dyDescent="0.2">
      <c r="A49" s="4" t="s">
        <v>47</v>
      </c>
      <c r="B49" s="14">
        <v>0.99576504756357198</v>
      </c>
      <c r="C49" s="14">
        <v>0.42779947269527191</v>
      </c>
      <c r="E49" s="4" t="s">
        <v>47</v>
      </c>
      <c r="F49" s="14">
        <v>1.0017932190726679</v>
      </c>
      <c r="G49" s="14">
        <v>0.46513012150862992</v>
      </c>
      <c r="I49" s="4" t="s">
        <v>47</v>
      </c>
      <c r="J49" s="14">
        <v>1.0021953911199362</v>
      </c>
      <c r="K49" s="14">
        <v>0.52289973040603166</v>
      </c>
      <c r="M49" s="4" t="s">
        <v>47</v>
      </c>
      <c r="N49" s="14">
        <v>0.94634565579290608</v>
      </c>
      <c r="O49" s="14">
        <v>0.5653406895035229</v>
      </c>
    </row>
    <row r="50" spans="1:15" ht="15" x14ac:dyDescent="0.2">
      <c r="A50" s="4" t="s">
        <v>48</v>
      </c>
      <c r="B50" s="14">
        <v>1.4724041618599257</v>
      </c>
      <c r="C50" s="14">
        <v>0.12628347922820368</v>
      </c>
      <c r="E50" s="4" t="s">
        <v>48</v>
      </c>
      <c r="F50" s="14">
        <v>1.6340367715427397</v>
      </c>
      <c r="G50" s="14">
        <v>7.4479780798374251E-2</v>
      </c>
      <c r="I50" s="4" t="s">
        <v>48</v>
      </c>
      <c r="J50" s="14">
        <v>1.4745053767495255</v>
      </c>
      <c r="K50" s="14">
        <v>0.13243215051711643</v>
      </c>
      <c r="M50" s="4" t="s">
        <v>48</v>
      </c>
      <c r="N50" s="14">
        <v>1.7785663084052228</v>
      </c>
      <c r="O50" s="14">
        <v>9.7359061457532731E-2</v>
      </c>
    </row>
  </sheetData>
  <mergeCells count="4">
    <mergeCell ref="A1:C1"/>
    <mergeCell ref="E1:G1"/>
    <mergeCell ref="I1:K1"/>
    <mergeCell ref="M1:O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68CF-3919-4C72-9003-DB3E09A2AF91}">
  <dimension ref="A1:G49"/>
  <sheetViews>
    <sheetView tabSelected="1" workbookViewId="0">
      <selection activeCell="L40" sqref="L40"/>
    </sheetView>
  </sheetViews>
  <sheetFormatPr defaultRowHeight="14.25" x14ac:dyDescent="0.2"/>
  <sheetData>
    <row r="1" spans="1:7" ht="15" x14ac:dyDescent="0.2">
      <c r="A1" s="15" t="s">
        <v>49</v>
      </c>
      <c r="B1" s="15" t="s">
        <v>144</v>
      </c>
      <c r="C1" s="15" t="s">
        <v>145</v>
      </c>
      <c r="D1" s="15" t="s">
        <v>146</v>
      </c>
      <c r="E1" s="15" t="s">
        <v>147</v>
      </c>
      <c r="F1" s="15" t="s">
        <v>148</v>
      </c>
      <c r="G1" s="15" t="s">
        <v>149</v>
      </c>
    </row>
    <row r="2" spans="1:7" ht="15" x14ac:dyDescent="0.2">
      <c r="A2" s="4" t="s">
        <v>54</v>
      </c>
      <c r="B2" s="16">
        <v>0.40632314982839268</v>
      </c>
      <c r="C2" s="16">
        <v>0.3615457637070803</v>
      </c>
      <c r="D2" s="16">
        <v>0.25256896848014798</v>
      </c>
      <c r="E2" s="16">
        <v>0.76881114933461225</v>
      </c>
      <c r="F2" s="16">
        <v>0.77236914338516205</v>
      </c>
      <c r="G2" s="16">
        <v>0</v>
      </c>
    </row>
    <row r="3" spans="1:7" ht="15" x14ac:dyDescent="0.2">
      <c r="A3" s="4" t="s">
        <v>55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-3.7975262580961389E-16</v>
      </c>
    </row>
    <row r="4" spans="1:7" ht="15" x14ac:dyDescent="0.2">
      <c r="A4" s="4" t="s">
        <v>56</v>
      </c>
      <c r="B4" s="16">
        <v>0.63842867517303414</v>
      </c>
      <c r="C4" s="16">
        <v>0.69321300663896812</v>
      </c>
      <c r="D4" s="16">
        <v>0.87349632376321684</v>
      </c>
      <c r="E4" s="16">
        <v>0.67698050578754088</v>
      </c>
      <c r="F4" s="16">
        <v>0.76276324600611434</v>
      </c>
      <c r="G4" s="16">
        <v>0</v>
      </c>
    </row>
    <row r="5" spans="1:7" ht="15" x14ac:dyDescent="0.2">
      <c r="A5" s="4" t="s">
        <v>150</v>
      </c>
      <c r="B5" s="16">
        <v>0.78731487362458774</v>
      </c>
      <c r="C5" s="16">
        <v>0.87657728113326738</v>
      </c>
      <c r="D5" s="16">
        <v>0.87204711511836441</v>
      </c>
      <c r="E5" s="16">
        <v>0.83370873510953125</v>
      </c>
      <c r="F5" s="16">
        <v>0.94203139035394712</v>
      </c>
      <c r="G5" s="16">
        <v>0.59930793733932053</v>
      </c>
    </row>
    <row r="6" spans="1:7" ht="15" x14ac:dyDescent="0.2">
      <c r="A6" s="4" t="s">
        <v>57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</row>
    <row r="7" spans="1:7" ht="15" x14ac:dyDescent="0.2">
      <c r="A7" s="4" t="s">
        <v>58</v>
      </c>
      <c r="B7" s="16">
        <v>-1.3496769436473965E-16</v>
      </c>
      <c r="C7" s="16">
        <v>0</v>
      </c>
      <c r="D7" s="16">
        <v>0</v>
      </c>
      <c r="E7" s="16">
        <v>-1.7985724124915962E-16</v>
      </c>
      <c r="F7" s="16">
        <v>0</v>
      </c>
      <c r="G7" s="16">
        <v>0</v>
      </c>
    </row>
    <row r="8" spans="1:7" ht="15" x14ac:dyDescent="0.2">
      <c r="A8" s="4" t="s">
        <v>59</v>
      </c>
      <c r="B8" s="16">
        <v>0</v>
      </c>
      <c r="C8" s="16">
        <v>0</v>
      </c>
      <c r="D8" s="16">
        <v>0</v>
      </c>
      <c r="E8" s="16">
        <v>0</v>
      </c>
      <c r="F8" s="16">
        <v>3.4773415000481641E-16</v>
      </c>
      <c r="G8" s="16">
        <v>0</v>
      </c>
    </row>
    <row r="9" spans="1:7" ht="15" x14ac:dyDescent="0.2">
      <c r="A9" s="4" t="s">
        <v>60</v>
      </c>
      <c r="B9" s="16">
        <v>0.2552219813482946</v>
      </c>
      <c r="C9" s="16">
        <v>0.12417017320034011</v>
      </c>
      <c r="D9" s="16">
        <v>0.43794237573278227</v>
      </c>
      <c r="E9" s="16">
        <v>0</v>
      </c>
      <c r="F9" s="16">
        <v>0.5683250634243292</v>
      </c>
      <c r="G9" s="16">
        <v>0.39393262496992631</v>
      </c>
    </row>
    <row r="10" spans="1:7" ht="15" x14ac:dyDescent="0.2">
      <c r="A10" s="4" t="s">
        <v>61</v>
      </c>
      <c r="B10" s="16">
        <v>0.58077770280644814</v>
      </c>
      <c r="C10" s="16">
        <v>0.86983093483253326</v>
      </c>
      <c r="D10" s="16">
        <v>0.98831269973930769</v>
      </c>
      <c r="E10" s="16">
        <v>0.55751033331110667</v>
      </c>
      <c r="F10" s="16">
        <v>0.99702735968058254</v>
      </c>
      <c r="G10" s="16">
        <v>0.30972339212973493</v>
      </c>
    </row>
    <row r="11" spans="1:7" ht="15" x14ac:dyDescent="0.2">
      <c r="A11" s="4" t="s">
        <v>62</v>
      </c>
      <c r="B11" s="16">
        <v>0.85565547422885246</v>
      </c>
      <c r="C11" s="16">
        <v>0.74574343348605476</v>
      </c>
      <c r="D11" s="16">
        <v>0.95161589780830669</v>
      </c>
      <c r="E11" s="16">
        <v>0.77745851089638585</v>
      </c>
      <c r="F11" s="16">
        <v>0.26511870829961209</v>
      </c>
      <c r="G11" s="16">
        <v>0.46903906547032215</v>
      </c>
    </row>
    <row r="12" spans="1:7" ht="15" x14ac:dyDescent="0.2">
      <c r="A12" s="4" t="s">
        <v>63</v>
      </c>
      <c r="B12" s="16">
        <v>0.15127306615206634</v>
      </c>
      <c r="C12" s="16">
        <v>0.48122984162651145</v>
      </c>
      <c r="D12" s="16">
        <v>0.32855264123741879</v>
      </c>
      <c r="E12" s="16">
        <v>8.5145056561757148E-3</v>
      </c>
      <c r="F12" s="16">
        <v>0.31914678602623414</v>
      </c>
      <c r="G12" s="16">
        <v>0</v>
      </c>
    </row>
    <row r="13" spans="1:7" ht="15" x14ac:dyDescent="0.2">
      <c r="A13" s="4" t="s">
        <v>151</v>
      </c>
      <c r="B13" s="16">
        <v>0.74149779209880551</v>
      </c>
      <c r="C13" s="16">
        <v>0.76432640276372665</v>
      </c>
      <c r="D13" s="16">
        <v>0.95455115166637894</v>
      </c>
      <c r="E13" s="16">
        <v>0.5491137376791364</v>
      </c>
      <c r="F13" s="16">
        <v>0.93300714779570326</v>
      </c>
      <c r="G13" s="16">
        <v>0.68948201326670977</v>
      </c>
    </row>
    <row r="14" spans="1:7" ht="15" x14ac:dyDescent="0.2">
      <c r="A14" s="4" t="s">
        <v>64</v>
      </c>
      <c r="B14" s="16">
        <v>0</v>
      </c>
      <c r="C14" s="16">
        <v>0.70650534630418471</v>
      </c>
      <c r="D14" s="16">
        <v>0.7539840207030668</v>
      </c>
      <c r="E14" s="16">
        <v>0.53833142069693196</v>
      </c>
      <c r="F14" s="16">
        <v>0.81719511232106368</v>
      </c>
      <c r="G14" s="16">
        <v>0.19087168146185696</v>
      </c>
    </row>
    <row r="15" spans="1:7" ht="15" x14ac:dyDescent="0.2">
      <c r="A15" s="4" t="s">
        <v>65</v>
      </c>
      <c r="B15" s="16">
        <v>0.74667900635228179</v>
      </c>
      <c r="C15" s="16">
        <v>0.67716953489428011</v>
      </c>
      <c r="D15" s="16">
        <v>0.54937953319469168</v>
      </c>
      <c r="E15" s="16">
        <v>0.73390725546343971</v>
      </c>
      <c r="F15" s="16">
        <v>0.64958695770294428</v>
      </c>
      <c r="G15" s="16">
        <v>0.22014624059337223</v>
      </c>
    </row>
    <row r="16" spans="1:7" ht="15" x14ac:dyDescent="0.2">
      <c r="A16" s="4" t="s">
        <v>66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</row>
    <row r="17" spans="1:7" ht="15" x14ac:dyDescent="0.2">
      <c r="A17" s="4" t="s">
        <v>67</v>
      </c>
      <c r="B17" s="16">
        <v>0.35303656937430422</v>
      </c>
      <c r="C17" s="16">
        <v>0.78259814453609766</v>
      </c>
      <c r="D17" s="16">
        <v>0.98088312033908975</v>
      </c>
      <c r="E17" s="16">
        <v>0.66694876043806739</v>
      </c>
      <c r="F17" s="16">
        <v>0.97342166998490121</v>
      </c>
      <c r="G17" s="16">
        <v>0</v>
      </c>
    </row>
    <row r="18" spans="1:7" ht="15" x14ac:dyDescent="0.2">
      <c r="A18" s="4" t="s">
        <v>68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</row>
    <row r="19" spans="1:7" ht="15" x14ac:dyDescent="0.2">
      <c r="A19" s="4" t="s">
        <v>69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</row>
    <row r="20" spans="1:7" ht="15" x14ac:dyDescent="0.2">
      <c r="A20" s="4" t="s">
        <v>70</v>
      </c>
      <c r="B20" s="16">
        <v>0.11987165142775592</v>
      </c>
      <c r="C20" s="16">
        <v>0.16287436944074579</v>
      </c>
      <c r="D20" s="16">
        <v>0.1758147755067537</v>
      </c>
      <c r="E20" s="16">
        <v>0.33701880674124313</v>
      </c>
      <c r="F20" s="16">
        <v>0.22302232675055692</v>
      </c>
      <c r="G20" s="16">
        <v>0.32935241298355278</v>
      </c>
    </row>
    <row r="21" spans="1:7" ht="15" x14ac:dyDescent="0.2">
      <c r="A21" s="4" t="s">
        <v>71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ht="15" x14ac:dyDescent="0.2">
      <c r="A22" s="4" t="s">
        <v>152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5.8334741841255654E-16</v>
      </c>
    </row>
    <row r="23" spans="1:7" ht="15" x14ac:dyDescent="0.2">
      <c r="A23" s="4" t="s">
        <v>72</v>
      </c>
      <c r="B23" s="16">
        <v>1.3883508613986449E-16</v>
      </c>
      <c r="C23" s="16">
        <v>1.330606115552555E-16</v>
      </c>
      <c r="D23" s="16">
        <v>0</v>
      </c>
      <c r="E23" s="16">
        <v>0</v>
      </c>
      <c r="F23" s="16">
        <v>0</v>
      </c>
      <c r="G23" s="16">
        <v>7.2618460947005464E-16</v>
      </c>
    </row>
    <row r="24" spans="1:7" ht="15" x14ac:dyDescent="0.2">
      <c r="A24" s="4" t="s">
        <v>153</v>
      </c>
      <c r="B24" s="16">
        <v>0.78383036310760801</v>
      </c>
      <c r="C24" s="16">
        <v>0.96035952837316041</v>
      </c>
      <c r="D24" s="16">
        <v>0.98870277733658152</v>
      </c>
      <c r="E24" s="16">
        <v>0.61330010273106683</v>
      </c>
      <c r="F24" s="16">
        <v>0.99690430869385038</v>
      </c>
      <c r="G24" s="16">
        <v>0.12827531609450538</v>
      </c>
    </row>
    <row r="25" spans="1:7" ht="15" x14ac:dyDescent="0.2">
      <c r="A25" s="4" t="s">
        <v>73</v>
      </c>
      <c r="B25" s="16">
        <v>0.57318023253801931</v>
      </c>
      <c r="C25" s="16">
        <v>0.92550227779097938</v>
      </c>
      <c r="D25" s="16">
        <v>0.93058929825791992</v>
      </c>
      <c r="E25" s="16">
        <v>0.91203111797343051</v>
      </c>
      <c r="F25" s="16">
        <v>0.76384604835765391</v>
      </c>
      <c r="G25" s="16">
        <v>0.30539606024482224</v>
      </c>
    </row>
    <row r="26" spans="1:7" ht="15" x14ac:dyDescent="0.2">
      <c r="A26" s="4" t="s">
        <v>74</v>
      </c>
      <c r="B26" s="16">
        <v>0.71419551283444516</v>
      </c>
      <c r="C26" s="16">
        <v>0.61044021604555665</v>
      </c>
      <c r="D26" s="16">
        <v>0.17736313388346461</v>
      </c>
      <c r="E26" s="16">
        <v>0.61487664455548063</v>
      </c>
      <c r="F26" s="16">
        <v>0.73898207251345571</v>
      </c>
      <c r="G26" s="16">
        <v>0.24614483114956301</v>
      </c>
    </row>
    <row r="27" spans="1:7" ht="15" x14ac:dyDescent="0.2">
      <c r="A27" s="4" t="s">
        <v>75</v>
      </c>
      <c r="B27" s="16">
        <v>0.17652120214314707</v>
      </c>
      <c r="C27" s="16">
        <v>0.65430049823986547</v>
      </c>
      <c r="D27" s="16">
        <v>0.95926921499902307</v>
      </c>
      <c r="E27" s="16">
        <v>0.83977885242592265</v>
      </c>
      <c r="F27" s="16">
        <v>0.90291764586620415</v>
      </c>
      <c r="G27" s="16">
        <v>0.46518084296784173</v>
      </c>
    </row>
    <row r="28" spans="1:7" ht="15" x14ac:dyDescent="0.2">
      <c r="A28" s="4" t="s">
        <v>76</v>
      </c>
      <c r="B28" s="16">
        <v>0</v>
      </c>
      <c r="C28" s="16">
        <v>0.58320187349015717</v>
      </c>
      <c r="D28" s="16">
        <v>0.94964074527120279</v>
      </c>
      <c r="E28" s="16">
        <v>0.45308591913828128</v>
      </c>
      <c r="F28" s="16">
        <v>0.41000553731783557</v>
      </c>
      <c r="G28" s="16">
        <v>0</v>
      </c>
    </row>
    <row r="29" spans="1:7" ht="15" x14ac:dyDescent="0.2">
      <c r="A29" s="4" t="s">
        <v>154</v>
      </c>
      <c r="B29" s="16">
        <v>6.0135403422892176E-16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ht="15" x14ac:dyDescent="0.2">
      <c r="A30" s="4" t="s">
        <v>78</v>
      </c>
      <c r="B30" s="16">
        <v>0</v>
      </c>
      <c r="C30" s="16">
        <v>2.9713731916831491E-16</v>
      </c>
      <c r="D30" s="16">
        <v>0</v>
      </c>
      <c r="E30" s="16">
        <v>0</v>
      </c>
      <c r="F30" s="16">
        <v>0</v>
      </c>
      <c r="G30" s="16">
        <v>-3.5055206240312701E-16</v>
      </c>
    </row>
    <row r="31" spans="1:7" ht="15" x14ac:dyDescent="0.2">
      <c r="A31" s="4" t="s">
        <v>79</v>
      </c>
      <c r="B31" s="16">
        <v>0.41179012716392965</v>
      </c>
      <c r="C31" s="16">
        <v>0.81567439372566153</v>
      </c>
      <c r="D31" s="16">
        <v>0.98554621086567673</v>
      </c>
      <c r="E31" s="16">
        <v>0.80627246655142615</v>
      </c>
      <c r="F31" s="16">
        <v>0.93567922241487345</v>
      </c>
      <c r="G31" s="16">
        <v>0.29795891541971858</v>
      </c>
    </row>
    <row r="32" spans="1:7" ht="15" x14ac:dyDescent="0.2">
      <c r="A32" s="4" t="s">
        <v>80</v>
      </c>
      <c r="B32" s="16">
        <v>0</v>
      </c>
      <c r="C32" s="16">
        <v>1.6797584813471603E-16</v>
      </c>
      <c r="D32" s="16">
        <v>-1.9709192460167988E-16</v>
      </c>
      <c r="E32" s="16">
        <v>-4.0453233010016459E-16</v>
      </c>
      <c r="F32" s="16">
        <v>0</v>
      </c>
      <c r="G32" s="16">
        <v>0</v>
      </c>
    </row>
    <row r="33" spans="1:7" ht="15" x14ac:dyDescent="0.2">
      <c r="A33" s="4" t="s">
        <v>81</v>
      </c>
      <c r="B33" s="16">
        <v>-1.6673238367085049E-16</v>
      </c>
      <c r="C33" s="16">
        <v>-1.9083236983941889E-16</v>
      </c>
      <c r="D33" s="16">
        <v>-2.2448964139385188E-16</v>
      </c>
      <c r="E33" s="16">
        <v>0</v>
      </c>
      <c r="F33" s="16">
        <v>-1.4358706928668169E-16</v>
      </c>
      <c r="G33" s="16">
        <v>3.1519510915569698E-16</v>
      </c>
    </row>
    <row r="34" spans="1:7" ht="15" x14ac:dyDescent="0.2">
      <c r="A34" s="4" t="s">
        <v>82</v>
      </c>
      <c r="B34" s="16">
        <v>0.13133170641180558</v>
      </c>
      <c r="C34" s="16">
        <v>0.82281664017381095</v>
      </c>
      <c r="D34" s="16">
        <v>0.98544760617760652</v>
      </c>
      <c r="E34" s="16">
        <v>0.85005735711135122</v>
      </c>
      <c r="F34" s="16">
        <v>0.80432575738895584</v>
      </c>
      <c r="G34" s="16">
        <v>0</v>
      </c>
    </row>
    <row r="35" spans="1:7" ht="15" x14ac:dyDescent="0.2">
      <c r="A35" s="4" t="s">
        <v>83</v>
      </c>
      <c r="B35" s="16">
        <v>0</v>
      </c>
      <c r="C35" s="16">
        <v>0</v>
      </c>
      <c r="D35" s="16">
        <v>3.0190469362239778E-15</v>
      </c>
      <c r="E35" s="16">
        <v>0</v>
      </c>
      <c r="F35" s="16">
        <v>1.7854289839889324E-15</v>
      </c>
      <c r="G35" s="16">
        <v>0</v>
      </c>
    </row>
    <row r="36" spans="1:7" ht="15" x14ac:dyDescent="0.2">
      <c r="A36" s="4" t="s">
        <v>84</v>
      </c>
      <c r="B36" s="16">
        <v>0.47184368486361344</v>
      </c>
      <c r="C36" s="16">
        <v>0.46050478603116884</v>
      </c>
      <c r="D36" s="16">
        <v>0.90292814162741686</v>
      </c>
      <c r="E36" s="16">
        <v>0.75212918126236072</v>
      </c>
      <c r="F36" s="16">
        <v>0.72075695319317057</v>
      </c>
      <c r="G36" s="16">
        <v>7.8125960637648581E-2</v>
      </c>
    </row>
    <row r="37" spans="1:7" ht="15" x14ac:dyDescent="0.2">
      <c r="A37" s="4" t="s">
        <v>85</v>
      </c>
      <c r="B37" s="16">
        <v>0.64084659090862184</v>
      </c>
      <c r="C37" s="16">
        <v>0.54030902940988867</v>
      </c>
      <c r="D37" s="16">
        <v>0.9379830167348594</v>
      </c>
      <c r="E37" s="16">
        <v>0.83035168448133623</v>
      </c>
      <c r="F37" s="16">
        <v>0.84742183747363953</v>
      </c>
      <c r="G37" s="16">
        <v>0.5033460786660946</v>
      </c>
    </row>
    <row r="38" spans="1:7" ht="15" x14ac:dyDescent="0.2">
      <c r="A38" s="4" t="s">
        <v>86</v>
      </c>
      <c r="B38" s="16">
        <v>-2.0864953857060505E-16</v>
      </c>
      <c r="C38" s="16">
        <v>-2.4544826382891724E-16</v>
      </c>
      <c r="D38" s="16">
        <v>-1.4058031586804393E-16</v>
      </c>
      <c r="E38" s="16">
        <v>-1.2352179135508688E-16</v>
      </c>
      <c r="F38" s="16">
        <v>0</v>
      </c>
      <c r="G38" s="16">
        <v>9.1363939626078245E-16</v>
      </c>
    </row>
    <row r="39" spans="1:7" ht="15" x14ac:dyDescent="0.2">
      <c r="A39" s="4" t="s">
        <v>87</v>
      </c>
      <c r="B39" s="16">
        <v>-7.6692224384150908E-16</v>
      </c>
      <c r="C39" s="16">
        <v>-3.8210121718932539E-16</v>
      </c>
      <c r="D39" s="16">
        <v>3.3018706811278542E-15</v>
      </c>
      <c r="E39" s="16">
        <v>0</v>
      </c>
      <c r="F39" s="16">
        <v>-1.452851518846176E-16</v>
      </c>
      <c r="G39" s="16">
        <v>0</v>
      </c>
    </row>
    <row r="40" spans="1:7" ht="15" x14ac:dyDescent="0.2">
      <c r="A40" s="4" t="s">
        <v>88</v>
      </c>
      <c r="B40" s="16">
        <v>0.49184071118414119</v>
      </c>
      <c r="C40" s="16">
        <v>0.95391318661430047</v>
      </c>
      <c r="D40" s="16">
        <v>0.7742624521674577</v>
      </c>
      <c r="E40" s="16">
        <v>0.57954923512697809</v>
      </c>
      <c r="F40" s="16">
        <v>0.90992631717695793</v>
      </c>
      <c r="G40" s="16">
        <v>8.8436199242369687E-2</v>
      </c>
    </row>
    <row r="41" spans="1:7" ht="15" x14ac:dyDescent="0.2">
      <c r="A41" s="4" t="s">
        <v>89</v>
      </c>
      <c r="B41" s="16">
        <v>0.61901098432216406</v>
      </c>
      <c r="C41" s="16">
        <v>0.71664811531617134</v>
      </c>
      <c r="D41" s="16">
        <v>0.90738444715408395</v>
      </c>
      <c r="E41" s="16">
        <v>0.71921091672512605</v>
      </c>
      <c r="F41" s="16">
        <v>0.16053778303051169</v>
      </c>
      <c r="G41" s="16">
        <v>0.50600404708622349</v>
      </c>
    </row>
    <row r="42" spans="1:7" ht="15" x14ac:dyDescent="0.2">
      <c r="A42" s="4" t="s">
        <v>90</v>
      </c>
      <c r="B42" s="16">
        <v>0.80274334704923189</v>
      </c>
      <c r="C42" s="16">
        <v>0.71204975756809774</v>
      </c>
      <c r="D42" s="16">
        <v>0.920784559290589</v>
      </c>
      <c r="E42" s="16">
        <v>0.89291320033202759</v>
      </c>
      <c r="F42" s="16">
        <v>0.5446905500926057</v>
      </c>
      <c r="G42" s="16">
        <v>0.6275746332448171</v>
      </c>
    </row>
    <row r="43" spans="1:7" ht="15" x14ac:dyDescent="0.2">
      <c r="A43" s="4" t="s">
        <v>155</v>
      </c>
      <c r="B43" s="16">
        <v>0.35337132713039732</v>
      </c>
      <c r="C43" s="16">
        <v>0.44755595437418721</v>
      </c>
      <c r="D43" s="16">
        <v>0.92539165323666672</v>
      </c>
      <c r="E43" s="16">
        <v>0.92158093770048877</v>
      </c>
      <c r="F43" s="16">
        <v>0.21242376170374688</v>
      </c>
      <c r="G43" s="16">
        <v>0.42110935656491882</v>
      </c>
    </row>
    <row r="44" spans="1:7" ht="15" x14ac:dyDescent="0.2">
      <c r="A44" s="4" t="s">
        <v>91</v>
      </c>
      <c r="B44" s="16">
        <v>0.72280970274408607</v>
      </c>
      <c r="C44" s="16">
        <v>0.77866470212700523</v>
      </c>
      <c r="D44" s="16">
        <v>0.86222619843974735</v>
      </c>
      <c r="E44" s="16">
        <v>0.81378082862611678</v>
      </c>
      <c r="F44" s="16">
        <v>0.79565866805544849</v>
      </c>
      <c r="G44" s="16">
        <v>0.48640504707210952</v>
      </c>
    </row>
    <row r="45" spans="1:7" ht="15" x14ac:dyDescent="0.2">
      <c r="A45" s="4" t="s">
        <v>156</v>
      </c>
      <c r="B45" s="16">
        <v>0.78347313970636379</v>
      </c>
      <c r="C45" s="16">
        <v>0.12856226658998904</v>
      </c>
      <c r="D45" s="16">
        <v>0.63028993673255651</v>
      </c>
      <c r="E45" s="16">
        <v>0.91414803552958579</v>
      </c>
      <c r="F45" s="16">
        <v>0.55129013848661579</v>
      </c>
      <c r="G45" s="16">
        <v>0.2561569081248552</v>
      </c>
    </row>
    <row r="46" spans="1:7" ht="15" x14ac:dyDescent="0.2">
      <c r="A46" s="4" t="s">
        <v>157</v>
      </c>
      <c r="B46" s="16">
        <v>0.64407305428846306</v>
      </c>
      <c r="C46" s="16">
        <v>0.85886433519394645</v>
      </c>
      <c r="D46" s="16">
        <v>0.93151390592436623</v>
      </c>
      <c r="E46" s="16">
        <v>0.82902620287729889</v>
      </c>
      <c r="F46" s="16">
        <v>0.69554342320653439</v>
      </c>
      <c r="G46" s="16">
        <v>0.5786628915198494</v>
      </c>
    </row>
    <row r="47" spans="1:7" ht="15" x14ac:dyDescent="0.2">
      <c r="A47" s="4" t="s">
        <v>158</v>
      </c>
      <c r="B47" s="16">
        <v>2.7730614269218047E-15</v>
      </c>
      <c r="C47" s="16">
        <v>5.6578012139508106E-15</v>
      </c>
      <c r="D47" s="16">
        <v>0</v>
      </c>
      <c r="E47" s="16">
        <v>2.3803716459488551E-15</v>
      </c>
      <c r="F47" s="16">
        <v>0</v>
      </c>
      <c r="G47" s="16">
        <v>0</v>
      </c>
    </row>
    <row r="48" spans="1:7" ht="15" x14ac:dyDescent="0.2">
      <c r="A48" s="4" t="s">
        <v>159</v>
      </c>
      <c r="B48" s="16">
        <v>0.55276839361770114</v>
      </c>
      <c r="C48" s="16">
        <v>0.46290192638477062</v>
      </c>
      <c r="D48" s="16">
        <v>0.799932664264287</v>
      </c>
      <c r="E48" s="16">
        <v>0.73369172073300104</v>
      </c>
      <c r="F48" s="16">
        <v>0.5838219108220547</v>
      </c>
      <c r="G48" s="16">
        <v>0.43043071014690321</v>
      </c>
    </row>
    <row r="49" spans="1:7" ht="15" x14ac:dyDescent="0.2">
      <c r="A49" s="4" t="s">
        <v>160</v>
      </c>
      <c r="B49" s="16">
        <v>0.78231286547840251</v>
      </c>
      <c r="C49" s="16">
        <v>0.80362116091865476</v>
      </c>
      <c r="D49" s="16">
        <v>0.98999445072254533</v>
      </c>
      <c r="E49" s="16">
        <v>0.87004251798060817</v>
      </c>
      <c r="F49" s="16">
        <v>0.96942399795631884</v>
      </c>
      <c r="G49" s="16">
        <v>0.40185144799440092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Fig.2</vt:lpstr>
      <vt:lpstr>Fig.3</vt:lpstr>
      <vt:lpstr>Fig.4</vt:lpstr>
      <vt:lpstr>Fig.5</vt:lpstr>
      <vt:lpstr>Fig.6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胡桃</dc:creator>
  <cp:lastModifiedBy>tingyu hu</cp:lastModifiedBy>
  <dcterms:created xsi:type="dcterms:W3CDTF">2015-06-05T18:19:34Z</dcterms:created>
  <dcterms:modified xsi:type="dcterms:W3CDTF">2026-07-11T12:55:30Z</dcterms:modified>
</cp:coreProperties>
</file>